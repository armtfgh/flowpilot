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패밀리룸\촉매반응연구실\1.논문\1.manuscript\2026\[Advanced Science] selective oxidation of sulfide\KRICT\"/>
    </mc:Choice>
  </mc:AlternateContent>
  <xr:revisionPtr revIDLastSave="0" documentId="13_ncr:1_{401F7083-B5E9-40CF-B651-5BD8BC2EB8DB}" xr6:coauthVersionLast="47" xr6:coauthVersionMax="47" xr10:uidLastSave="{00000000-0000-0000-0000-000000000000}"/>
  <bookViews>
    <workbookView xWindow="-120" yWindow="-120" windowWidth="29040" windowHeight="15720" xr2:uid="{4272D451-4382-4B3B-B06D-FB2485757DA8}"/>
  </bookViews>
  <sheets>
    <sheet name="Sheet1" sheetId="1" r:id="rId1"/>
  </sheets>
  <definedNames>
    <definedName name="_xlnm._FilterDatabase" localSheetId="0" hidden="1">Sheet1!$B$11:$S$11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5" i="1" l="1"/>
  <c r="R53" i="1"/>
  <c r="R52" i="1"/>
  <c r="R17" i="1"/>
  <c r="R12" i="1"/>
  <c r="R13" i="1"/>
  <c r="R18" i="1"/>
  <c r="R16" i="1"/>
  <c r="R14" i="1"/>
  <c r="R48" i="1"/>
  <c r="R46" i="1"/>
  <c r="R47" i="1"/>
  <c r="R45" i="1"/>
  <c r="R42" i="1"/>
  <c r="R27" i="1"/>
  <c r="R44" i="1"/>
  <c r="R35" i="1"/>
  <c r="R37" i="1"/>
  <c r="R34" i="1"/>
  <c r="R22" i="1"/>
  <c r="R26" i="1"/>
  <c r="R40" i="1"/>
  <c r="R25" i="1"/>
  <c r="R30" i="1"/>
  <c r="R38" i="1"/>
  <c r="R28" i="1"/>
  <c r="R21" i="1"/>
  <c r="R32" i="1"/>
  <c r="R50" i="1"/>
  <c r="R43" i="1"/>
  <c r="R19" i="1"/>
  <c r="R24" i="1"/>
  <c r="R49" i="1"/>
  <c r="R41" i="1"/>
  <c r="R36" i="1"/>
  <c r="R39" i="1"/>
  <c r="R29" i="1"/>
  <c r="R20" i="1"/>
  <c r="R31" i="1"/>
  <c r="R23" i="1"/>
  <c r="R33" i="1"/>
  <c r="R51" i="1"/>
  <c r="Q15" i="1"/>
  <c r="Q53" i="1"/>
  <c r="Q52" i="1"/>
  <c r="Q17" i="1"/>
  <c r="Q12" i="1"/>
  <c r="Q13" i="1"/>
  <c r="Q18" i="1"/>
  <c r="Q16" i="1"/>
  <c r="Q14" i="1"/>
  <c r="Q48" i="1"/>
  <c r="Q46" i="1"/>
  <c r="Q47" i="1"/>
  <c r="Q45" i="1"/>
  <c r="Q42" i="1"/>
  <c r="Q27" i="1"/>
  <c r="Q44" i="1"/>
  <c r="Q35" i="1"/>
  <c r="Q37" i="1"/>
  <c r="Q34" i="1"/>
  <c r="Q22" i="1"/>
  <c r="Q26" i="1"/>
  <c r="Q40" i="1"/>
  <c r="Q25" i="1"/>
  <c r="Q30" i="1"/>
  <c r="Q38" i="1"/>
  <c r="Q28" i="1"/>
  <c r="Q21" i="1"/>
  <c r="Q32" i="1"/>
  <c r="Q50" i="1"/>
  <c r="Q43" i="1"/>
  <c r="Q19" i="1"/>
  <c r="Q24" i="1"/>
  <c r="Q49" i="1"/>
  <c r="Q41" i="1"/>
  <c r="Q36" i="1"/>
  <c r="Q39" i="1"/>
  <c r="Q29" i="1"/>
  <c r="Q20" i="1"/>
  <c r="Q31" i="1"/>
  <c r="Q23" i="1"/>
  <c r="Q33" i="1"/>
  <c r="Q51" i="1"/>
  <c r="S15" i="1"/>
  <c r="S53" i="1"/>
  <c r="S52" i="1"/>
  <c r="S17" i="1"/>
  <c r="S12" i="1"/>
  <c r="S13" i="1"/>
  <c r="S18" i="1"/>
  <c r="S16" i="1"/>
  <c r="S14" i="1"/>
  <c r="S48" i="1"/>
  <c r="S46" i="1"/>
  <c r="S47" i="1"/>
  <c r="S45" i="1"/>
  <c r="S42" i="1"/>
  <c r="S27" i="1"/>
  <c r="S44" i="1"/>
  <c r="S35" i="1"/>
  <c r="S37" i="1"/>
  <c r="S34" i="1"/>
  <c r="S22" i="1"/>
  <c r="S26" i="1"/>
  <c r="S40" i="1"/>
  <c r="S25" i="1"/>
  <c r="S30" i="1"/>
  <c r="S38" i="1"/>
  <c r="S28" i="1"/>
  <c r="S21" i="1"/>
  <c r="S32" i="1"/>
  <c r="S50" i="1"/>
  <c r="S43" i="1"/>
  <c r="S19" i="1"/>
  <c r="S24" i="1"/>
  <c r="S49" i="1"/>
  <c r="S41" i="1"/>
  <c r="S36" i="1"/>
  <c r="S39" i="1"/>
  <c r="S29" i="1"/>
  <c r="S20" i="1"/>
  <c r="S31" i="1"/>
  <c r="S23" i="1"/>
  <c r="S33" i="1"/>
  <c r="S51" i="1"/>
</calcChain>
</file>

<file path=xl/sharedStrings.xml><?xml version="1.0" encoding="utf-8"?>
<sst xmlns="http://schemas.openxmlformats.org/spreadsheetml/2006/main" count="267" uniqueCount="30">
  <si>
    <t>Entry</t>
    <phoneticPr fontId="1" type="noConversion"/>
  </si>
  <si>
    <t>solvent 1</t>
    <phoneticPr fontId="1" type="noConversion"/>
  </si>
  <si>
    <t>solvent 2</t>
    <phoneticPr fontId="1" type="noConversion"/>
  </si>
  <si>
    <t>concentration (M)</t>
    <phoneticPr fontId="1" type="noConversion"/>
  </si>
  <si>
    <t>time (h)</t>
    <phoneticPr fontId="1" type="noConversion"/>
  </si>
  <si>
    <t>temperature (℃)</t>
    <phoneticPr fontId="1" type="noConversion"/>
  </si>
  <si>
    <t xml:space="preserve">oxidant </t>
    <phoneticPr fontId="1" type="noConversion"/>
  </si>
  <si>
    <t>light source</t>
    <phoneticPr fontId="1" type="noConversion"/>
  </si>
  <si>
    <t>10 W blue LEDs</t>
  </si>
  <si>
    <t>yield 1 (%)</t>
    <phoneticPr fontId="1" type="noConversion"/>
  </si>
  <si>
    <t>yield 2 (%)</t>
    <phoneticPr fontId="1" type="noConversion"/>
  </si>
  <si>
    <t>yield 3 (%)</t>
    <phoneticPr fontId="1" type="noConversion"/>
  </si>
  <si>
    <t>side (%)</t>
    <phoneticPr fontId="1" type="noConversion"/>
  </si>
  <si>
    <t>unknown (%)</t>
    <phoneticPr fontId="1" type="noConversion"/>
  </si>
  <si>
    <t>mass balance</t>
    <phoneticPr fontId="1" type="noConversion"/>
  </si>
  <si>
    <t>type of photocatalyst</t>
    <phoneticPr fontId="1" type="noConversion"/>
  </si>
  <si>
    <t>catalyst loading (mol%)</t>
    <phoneticPr fontId="1" type="noConversion"/>
  </si>
  <si>
    <t xml:space="preserve">solvent ratio (% of solvent 1) </t>
    <phoneticPr fontId="1" type="noConversion"/>
  </si>
  <si>
    <t>conversion (100 - yield 1)</t>
    <phoneticPr fontId="1" type="noConversion"/>
  </si>
  <si>
    <t>selectivity [{yield 2 / (yield 2 + yield 3)} x 100]</t>
    <phoneticPr fontId="1" type="noConversion"/>
  </si>
  <si>
    <t>EtOH</t>
    <phoneticPr fontId="1" type="noConversion"/>
  </si>
  <si>
    <t>water</t>
    <phoneticPr fontId="1" type="noConversion"/>
  </si>
  <si>
    <t>PS-acridine</t>
    <phoneticPr fontId="1" type="noConversion"/>
  </si>
  <si>
    <t>oxygen</t>
    <phoneticPr fontId="1" type="noConversion"/>
  </si>
  <si>
    <t>10 W blue LEDs</t>
    <phoneticPr fontId="1" type="noConversion"/>
  </si>
  <si>
    <t>pH 10 buffer</t>
    <phoneticPr fontId="1" type="noConversion"/>
  </si>
  <si>
    <t>-</t>
    <phoneticPr fontId="1" type="noConversion"/>
  </si>
  <si>
    <t>s-BuOH</t>
    <phoneticPr fontId="1" type="noConversion"/>
  </si>
  <si>
    <t>MEK</t>
    <phoneticPr fontId="1" type="noConversion"/>
  </si>
  <si>
    <t>air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</si>
</sst>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2</xdr:row>
          <xdr:rowOff>0</xdr:rowOff>
        </xdr:from>
        <xdr:to>
          <xdr:col>6</xdr:col>
          <xdr:colOff>647700</xdr:colOff>
          <xdr:row>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11B0-DACF-4C52-8AB9-E03011EBC44B}">
  <dimension ref="A2:S113"/>
  <sheetViews>
    <sheetView tabSelected="1" topLeftCell="A11" zoomScale="70" zoomScaleNormal="70" workbookViewId="0">
      <selection activeCell="G38" sqref="G38"/>
    </sheetView>
  </sheetViews>
  <sheetFormatPr defaultRowHeight="16.5" x14ac:dyDescent="0.3"/>
  <cols>
    <col min="1" max="1" width="5.75" bestFit="1" customWidth="1"/>
    <col min="2" max="3" width="12.625" bestFit="1" customWidth="1"/>
    <col min="4" max="4" width="28.625" bestFit="1" customWidth="1"/>
    <col min="5" max="5" width="17.625" bestFit="1" customWidth="1"/>
    <col min="6" max="6" width="20.5" bestFit="1" customWidth="1"/>
    <col min="7" max="7" width="22.875" bestFit="1" customWidth="1"/>
    <col min="8" max="8" width="8.25" bestFit="1" customWidth="1"/>
    <col min="9" max="9" width="16.125" bestFit="1" customWidth="1"/>
    <col min="10" max="10" width="8.5" bestFit="1" customWidth="1"/>
    <col min="11" max="11" width="15.375" bestFit="1" customWidth="1"/>
    <col min="12" max="14" width="10.625" bestFit="1" customWidth="1"/>
    <col min="15" max="15" width="8.375" bestFit="1" customWidth="1"/>
    <col min="16" max="16" width="13.375" bestFit="1" customWidth="1"/>
    <col min="17" max="17" width="13.125" bestFit="1" customWidth="1"/>
    <col min="18" max="18" width="18.25" customWidth="1"/>
    <col min="19" max="19" width="16" customWidth="1"/>
  </cols>
  <sheetData>
    <row r="2" spans="1:19" x14ac:dyDescent="0.3">
      <c r="B2" s="6"/>
      <c r="C2" s="6"/>
      <c r="D2" s="6"/>
      <c r="E2" s="6"/>
      <c r="F2" s="6"/>
      <c r="G2" s="6"/>
    </row>
    <row r="3" spans="1:19" x14ac:dyDescent="0.3">
      <c r="B3" s="6"/>
      <c r="C3" s="6"/>
      <c r="D3" s="6"/>
      <c r="E3" s="6"/>
      <c r="F3" s="6"/>
      <c r="G3" s="6"/>
    </row>
    <row r="4" spans="1:19" x14ac:dyDescent="0.3">
      <c r="B4" s="6"/>
      <c r="C4" s="6"/>
      <c r="D4" s="6"/>
      <c r="E4" s="6"/>
      <c r="F4" s="6"/>
      <c r="G4" s="6"/>
    </row>
    <row r="5" spans="1:19" x14ac:dyDescent="0.3">
      <c r="B5" s="6"/>
      <c r="C5" s="6"/>
      <c r="D5" s="6"/>
      <c r="E5" s="6"/>
      <c r="F5" s="6"/>
      <c r="G5" s="6"/>
    </row>
    <row r="6" spans="1:19" x14ac:dyDescent="0.3">
      <c r="B6" s="6"/>
      <c r="C6" s="6"/>
      <c r="D6" s="6"/>
      <c r="E6" s="6"/>
      <c r="F6" s="6"/>
      <c r="G6" s="6"/>
    </row>
    <row r="7" spans="1:19" x14ac:dyDescent="0.3">
      <c r="B7" s="6"/>
      <c r="C7" s="6"/>
      <c r="D7" s="6"/>
      <c r="E7" s="6"/>
      <c r="F7" s="6"/>
      <c r="G7" s="6"/>
    </row>
    <row r="8" spans="1:19" x14ac:dyDescent="0.3">
      <c r="B8" s="6"/>
      <c r="C8" s="6"/>
      <c r="D8" s="6"/>
      <c r="E8" s="6"/>
      <c r="F8" s="6"/>
      <c r="G8" s="6"/>
    </row>
    <row r="9" spans="1:19" x14ac:dyDescent="0.3">
      <c r="B9" s="6"/>
      <c r="C9" s="6"/>
      <c r="D9" s="6"/>
      <c r="E9" s="6"/>
      <c r="F9" s="6"/>
      <c r="G9" s="6"/>
    </row>
    <row r="11" spans="1:19" ht="49.5" x14ac:dyDescent="0.3">
      <c r="A11" s="4" t="s">
        <v>0</v>
      </c>
      <c r="B11" s="4" t="s">
        <v>1</v>
      </c>
      <c r="C11" s="4" t="s">
        <v>2</v>
      </c>
      <c r="D11" s="4" t="s">
        <v>17</v>
      </c>
      <c r="E11" s="4" t="s">
        <v>3</v>
      </c>
      <c r="F11" s="4" t="s">
        <v>15</v>
      </c>
      <c r="G11" s="4" t="s">
        <v>16</v>
      </c>
      <c r="H11" s="4" t="s">
        <v>4</v>
      </c>
      <c r="I11" s="4" t="s">
        <v>5</v>
      </c>
      <c r="J11" s="4" t="s">
        <v>6</v>
      </c>
      <c r="K11" s="4" t="s">
        <v>7</v>
      </c>
      <c r="L11" s="4" t="s">
        <v>9</v>
      </c>
      <c r="M11" s="4" t="s">
        <v>10</v>
      </c>
      <c r="N11" s="4" t="s">
        <v>11</v>
      </c>
      <c r="O11" s="4" t="s">
        <v>12</v>
      </c>
      <c r="P11" s="4" t="s">
        <v>13</v>
      </c>
      <c r="Q11" s="4" t="s">
        <v>14</v>
      </c>
      <c r="R11" s="4" t="s">
        <v>18</v>
      </c>
      <c r="S11" s="4" t="s">
        <v>19</v>
      </c>
    </row>
    <row r="12" spans="1:19" x14ac:dyDescent="0.3">
      <c r="A12" s="1">
        <v>1</v>
      </c>
      <c r="B12" s="1" t="s">
        <v>21</v>
      </c>
      <c r="C12" s="1" t="s">
        <v>26</v>
      </c>
      <c r="D12" s="1" t="s">
        <v>26</v>
      </c>
      <c r="E12" s="1">
        <v>0.5</v>
      </c>
      <c r="F12" s="1" t="s">
        <v>22</v>
      </c>
      <c r="G12" s="1">
        <v>7</v>
      </c>
      <c r="H12" s="1">
        <v>16</v>
      </c>
      <c r="I12" s="1">
        <v>43</v>
      </c>
      <c r="J12" s="1" t="s">
        <v>23</v>
      </c>
      <c r="K12" s="1" t="s">
        <v>24</v>
      </c>
      <c r="L12" s="1">
        <v>0</v>
      </c>
      <c r="M12" s="1">
        <v>62</v>
      </c>
      <c r="N12" s="1">
        <v>14</v>
      </c>
      <c r="O12" s="1">
        <v>0</v>
      </c>
      <c r="P12" s="1">
        <v>0</v>
      </c>
      <c r="Q12" s="1">
        <f>L12+M12+N12+O12+P12</f>
        <v>76</v>
      </c>
      <c r="R12" s="1">
        <f>100-L12</f>
        <v>100</v>
      </c>
      <c r="S12" s="3">
        <f>(M12/(M12+N12))*100</f>
        <v>81.578947368421055</v>
      </c>
    </row>
    <row r="13" spans="1:19" x14ac:dyDescent="0.3">
      <c r="A13" s="1">
        <v>2</v>
      </c>
      <c r="B13" s="1" t="s">
        <v>27</v>
      </c>
      <c r="C13" s="1" t="s">
        <v>26</v>
      </c>
      <c r="D13" s="1" t="s">
        <v>26</v>
      </c>
      <c r="E13" s="1">
        <v>0.5</v>
      </c>
      <c r="F13" s="1" t="s">
        <v>22</v>
      </c>
      <c r="G13" s="1">
        <v>7</v>
      </c>
      <c r="H13" s="1">
        <v>16</v>
      </c>
      <c r="I13" s="1">
        <v>43</v>
      </c>
      <c r="J13" s="1" t="s">
        <v>23</v>
      </c>
      <c r="K13" s="1" t="s">
        <v>8</v>
      </c>
      <c r="L13" s="1">
        <v>0</v>
      </c>
      <c r="M13" s="1">
        <v>91</v>
      </c>
      <c r="N13" s="1">
        <v>10</v>
      </c>
      <c r="O13" s="1">
        <v>0</v>
      </c>
      <c r="P13" s="1">
        <v>0</v>
      </c>
      <c r="Q13" s="1">
        <f>L13+M13+N13+O13+P13</f>
        <v>101</v>
      </c>
      <c r="R13" s="1">
        <f>100-L13</f>
        <v>100</v>
      </c>
      <c r="S13" s="3">
        <f>(M13/(M13+N13))*100</f>
        <v>90.099009900990097</v>
      </c>
    </row>
    <row r="14" spans="1:19" x14ac:dyDescent="0.3">
      <c r="A14" s="1">
        <v>3</v>
      </c>
      <c r="B14" s="1" t="s">
        <v>27</v>
      </c>
      <c r="C14" s="1" t="s">
        <v>25</v>
      </c>
      <c r="D14" s="5">
        <v>50</v>
      </c>
      <c r="E14" s="1">
        <v>0.5</v>
      </c>
      <c r="F14" s="1" t="s">
        <v>22</v>
      </c>
      <c r="G14" s="1">
        <v>7</v>
      </c>
      <c r="H14" s="1">
        <v>16</v>
      </c>
      <c r="I14" s="1">
        <v>43</v>
      </c>
      <c r="J14" s="1" t="s">
        <v>23</v>
      </c>
      <c r="K14" s="1" t="s">
        <v>8</v>
      </c>
      <c r="L14" s="1">
        <v>0</v>
      </c>
      <c r="M14" s="1">
        <v>86</v>
      </c>
      <c r="N14" s="1">
        <v>11</v>
      </c>
      <c r="O14" s="1">
        <v>0</v>
      </c>
      <c r="P14" s="1">
        <v>0</v>
      </c>
      <c r="Q14" s="1">
        <f>L14+M14+N14+O14+P14</f>
        <v>97</v>
      </c>
      <c r="R14" s="1">
        <f>100-L14</f>
        <v>100</v>
      </c>
      <c r="S14" s="3">
        <f>(M14/(M14+N14))*100</f>
        <v>88.659793814432987</v>
      </c>
    </row>
    <row r="15" spans="1:19" x14ac:dyDescent="0.3">
      <c r="A15" s="5">
        <v>4</v>
      </c>
      <c r="B15" s="1" t="s">
        <v>25</v>
      </c>
      <c r="C15" s="1" t="s">
        <v>26</v>
      </c>
      <c r="D15" s="1" t="s">
        <v>26</v>
      </c>
      <c r="E15" s="1">
        <v>0.5</v>
      </c>
      <c r="F15" s="1" t="s">
        <v>22</v>
      </c>
      <c r="G15" s="1">
        <v>3</v>
      </c>
      <c r="H15" s="1">
        <v>16</v>
      </c>
      <c r="I15" s="1">
        <v>43</v>
      </c>
      <c r="J15" s="1" t="s">
        <v>23</v>
      </c>
      <c r="K15" s="1" t="s">
        <v>24</v>
      </c>
      <c r="L15" s="1">
        <v>57</v>
      </c>
      <c r="M15" s="1">
        <v>25</v>
      </c>
      <c r="N15" s="1">
        <v>3</v>
      </c>
      <c r="O15" s="1">
        <v>0</v>
      </c>
      <c r="P15" s="1">
        <v>0</v>
      </c>
      <c r="Q15" s="1">
        <f>L15+M15+N15+O15+P15</f>
        <v>85</v>
      </c>
      <c r="R15" s="1">
        <f>100-L15</f>
        <v>43</v>
      </c>
      <c r="S15" s="3">
        <f>(M15/(M15+N15))*100</f>
        <v>89.285714285714292</v>
      </c>
    </row>
    <row r="16" spans="1:19" x14ac:dyDescent="0.3">
      <c r="A16" s="5">
        <v>5</v>
      </c>
      <c r="B16" s="1" t="s">
        <v>25</v>
      </c>
      <c r="C16" s="1" t="s">
        <v>26</v>
      </c>
      <c r="D16" s="1" t="s">
        <v>26</v>
      </c>
      <c r="E16" s="1">
        <v>0.5</v>
      </c>
      <c r="F16" s="1" t="s">
        <v>22</v>
      </c>
      <c r="G16" s="1">
        <v>7</v>
      </c>
      <c r="H16" s="1">
        <v>16</v>
      </c>
      <c r="I16" s="1">
        <v>43</v>
      </c>
      <c r="J16" s="1" t="s">
        <v>23</v>
      </c>
      <c r="K16" s="1" t="s">
        <v>8</v>
      </c>
      <c r="L16" s="1">
        <v>0</v>
      </c>
      <c r="M16" s="1">
        <v>85</v>
      </c>
      <c r="N16" s="1">
        <v>11</v>
      </c>
      <c r="O16" s="1">
        <v>0</v>
      </c>
      <c r="P16" s="1">
        <v>0</v>
      </c>
      <c r="Q16" s="1">
        <f>L16+M16+N16+O16+P16</f>
        <v>96</v>
      </c>
      <c r="R16" s="1">
        <f>100-L16</f>
        <v>100</v>
      </c>
      <c r="S16" s="3">
        <f>(M16/(M16+N16))*100</f>
        <v>88.541666666666657</v>
      </c>
    </row>
    <row r="17" spans="1:19" x14ac:dyDescent="0.3">
      <c r="A17" s="5">
        <v>6</v>
      </c>
      <c r="B17" s="1" t="s">
        <v>25</v>
      </c>
      <c r="C17" s="1" t="s">
        <v>26</v>
      </c>
      <c r="D17" s="1" t="s">
        <v>26</v>
      </c>
      <c r="E17" s="1">
        <v>0.5</v>
      </c>
      <c r="F17" s="1" t="s">
        <v>22</v>
      </c>
      <c r="G17" s="1">
        <v>5</v>
      </c>
      <c r="H17" s="1">
        <v>48</v>
      </c>
      <c r="I17" s="1">
        <v>43</v>
      </c>
      <c r="J17" s="1" t="s">
        <v>23</v>
      </c>
      <c r="K17" s="1" t="s">
        <v>24</v>
      </c>
      <c r="L17" s="1">
        <v>0</v>
      </c>
      <c r="M17" s="1">
        <v>47</v>
      </c>
      <c r="N17" s="1">
        <v>23</v>
      </c>
      <c r="O17" s="1">
        <v>0</v>
      </c>
      <c r="P17" s="1">
        <v>0</v>
      </c>
      <c r="Q17" s="1">
        <f>L17+M17+N17+O17+P17</f>
        <v>70</v>
      </c>
      <c r="R17" s="1">
        <f>100-L17</f>
        <v>100</v>
      </c>
      <c r="S17" s="3">
        <f>(M17/(M17+N17))*100</f>
        <v>67.142857142857139</v>
      </c>
    </row>
    <row r="18" spans="1:19" x14ac:dyDescent="0.3">
      <c r="A18" s="5">
        <v>7</v>
      </c>
      <c r="B18" s="1" t="s">
        <v>28</v>
      </c>
      <c r="C18" s="1" t="s">
        <v>26</v>
      </c>
      <c r="D18" s="1" t="s">
        <v>26</v>
      </c>
      <c r="E18" s="1">
        <v>0.5</v>
      </c>
      <c r="F18" s="1" t="s">
        <v>22</v>
      </c>
      <c r="G18" s="1">
        <v>7</v>
      </c>
      <c r="H18" s="1">
        <v>16</v>
      </c>
      <c r="I18" s="1">
        <v>43</v>
      </c>
      <c r="J18" s="1" t="s">
        <v>23</v>
      </c>
      <c r="K18" s="1" t="s">
        <v>8</v>
      </c>
      <c r="L18" s="1">
        <v>0</v>
      </c>
      <c r="M18" s="1">
        <v>0</v>
      </c>
      <c r="N18" s="1">
        <v>66</v>
      </c>
      <c r="O18" s="1">
        <v>0</v>
      </c>
      <c r="P18" s="1">
        <v>0</v>
      </c>
      <c r="Q18" s="1">
        <f>L18+M18+N18+O18+P18</f>
        <v>66</v>
      </c>
      <c r="R18" s="1">
        <f>100-L18</f>
        <v>100</v>
      </c>
      <c r="S18" s="3">
        <f>(M18/(M18+N18))*100</f>
        <v>0</v>
      </c>
    </row>
    <row r="19" spans="1:19" x14ac:dyDescent="0.3">
      <c r="A19" s="5">
        <v>8</v>
      </c>
      <c r="B19" s="1" t="s">
        <v>20</v>
      </c>
      <c r="C19" s="1" t="s">
        <v>26</v>
      </c>
      <c r="D19" s="1" t="s">
        <v>26</v>
      </c>
      <c r="E19" s="1">
        <v>0.1</v>
      </c>
      <c r="F19" s="1" t="s">
        <v>22</v>
      </c>
      <c r="G19" s="1">
        <v>1</v>
      </c>
      <c r="H19" s="1">
        <v>10</v>
      </c>
      <c r="I19" s="1">
        <v>24</v>
      </c>
      <c r="J19" s="1" t="s">
        <v>29</v>
      </c>
      <c r="K19" s="1" t="s">
        <v>8</v>
      </c>
      <c r="L19" s="1">
        <v>6</v>
      </c>
      <c r="M19" s="1">
        <v>101</v>
      </c>
      <c r="N19" s="1">
        <v>0</v>
      </c>
      <c r="O19" s="1">
        <v>0</v>
      </c>
      <c r="P19" s="1">
        <v>0</v>
      </c>
      <c r="Q19" s="1">
        <f>L19+M19+N19+O19+P19</f>
        <v>107</v>
      </c>
      <c r="R19" s="1">
        <f>100-L19</f>
        <v>94</v>
      </c>
      <c r="S19" s="3">
        <f>(M19/(M19+N19))*100</f>
        <v>100</v>
      </c>
    </row>
    <row r="20" spans="1:19" x14ac:dyDescent="0.3">
      <c r="A20" s="5">
        <v>9</v>
      </c>
      <c r="B20" s="1" t="s">
        <v>20</v>
      </c>
      <c r="C20" s="1" t="s">
        <v>26</v>
      </c>
      <c r="D20" s="1" t="s">
        <v>26</v>
      </c>
      <c r="E20" s="1">
        <v>0.25</v>
      </c>
      <c r="F20" s="1" t="s">
        <v>22</v>
      </c>
      <c r="G20" s="1">
        <v>1</v>
      </c>
      <c r="H20" s="1">
        <v>7</v>
      </c>
      <c r="I20" s="1">
        <v>24</v>
      </c>
      <c r="J20" s="1" t="s">
        <v>29</v>
      </c>
      <c r="K20" s="1" t="s">
        <v>8</v>
      </c>
      <c r="L20" s="1">
        <v>2</v>
      </c>
      <c r="M20" s="1">
        <v>96</v>
      </c>
      <c r="N20" s="1">
        <v>0</v>
      </c>
      <c r="O20" s="1">
        <v>0</v>
      </c>
      <c r="P20" s="1">
        <v>0</v>
      </c>
      <c r="Q20" s="1">
        <f>L20+M20+N20+O20+P20</f>
        <v>98</v>
      </c>
      <c r="R20" s="1">
        <f>100-L20</f>
        <v>98</v>
      </c>
      <c r="S20" s="3">
        <f>(M20/(M20+N20))*100</f>
        <v>100</v>
      </c>
    </row>
    <row r="21" spans="1:19" x14ac:dyDescent="0.3">
      <c r="A21" s="5">
        <v>10</v>
      </c>
      <c r="B21" s="1" t="s">
        <v>20</v>
      </c>
      <c r="C21" s="1" t="s">
        <v>26</v>
      </c>
      <c r="D21" s="1" t="s">
        <v>26</v>
      </c>
      <c r="E21" s="1">
        <v>0.25</v>
      </c>
      <c r="F21" s="1" t="s">
        <v>22</v>
      </c>
      <c r="G21" s="1">
        <v>0.5</v>
      </c>
      <c r="H21" s="1">
        <v>8</v>
      </c>
      <c r="I21" s="1">
        <v>24</v>
      </c>
      <c r="J21" s="1" t="s">
        <v>29</v>
      </c>
      <c r="K21" s="1" t="s">
        <v>8</v>
      </c>
      <c r="L21" s="1">
        <v>5</v>
      </c>
      <c r="M21" s="1">
        <v>95</v>
      </c>
      <c r="N21" s="1">
        <v>0</v>
      </c>
      <c r="O21" s="1">
        <v>0</v>
      </c>
      <c r="P21" s="1">
        <v>0</v>
      </c>
      <c r="Q21" s="1">
        <f>L21+M21+N21+O21+P21</f>
        <v>100</v>
      </c>
      <c r="R21" s="1">
        <f>100-L21</f>
        <v>95</v>
      </c>
      <c r="S21" s="3">
        <f>(M21/(M21+N21))*100</f>
        <v>100</v>
      </c>
    </row>
    <row r="22" spans="1:19" x14ac:dyDescent="0.3">
      <c r="A22" s="5">
        <v>11</v>
      </c>
      <c r="B22" s="1" t="s">
        <v>20</v>
      </c>
      <c r="C22" s="1" t="s">
        <v>26</v>
      </c>
      <c r="D22" s="1" t="s">
        <v>26</v>
      </c>
      <c r="E22" s="1">
        <v>0.1</v>
      </c>
      <c r="F22" s="1" t="s">
        <v>22</v>
      </c>
      <c r="G22" s="1">
        <v>0.5</v>
      </c>
      <c r="H22" s="1">
        <v>12</v>
      </c>
      <c r="I22" s="1">
        <v>24</v>
      </c>
      <c r="J22" s="1" t="s">
        <v>29</v>
      </c>
      <c r="K22" s="1" t="s">
        <v>8</v>
      </c>
      <c r="L22" s="1">
        <v>5</v>
      </c>
      <c r="M22" s="1">
        <v>94</v>
      </c>
      <c r="N22" s="1">
        <v>0</v>
      </c>
      <c r="O22" s="1">
        <v>0</v>
      </c>
      <c r="P22" s="1">
        <v>0</v>
      </c>
      <c r="Q22" s="1">
        <f>L22+M22+N22+O22+P22</f>
        <v>99</v>
      </c>
      <c r="R22" s="1">
        <f>100-L22</f>
        <v>95</v>
      </c>
      <c r="S22" s="3">
        <f>(M22/(M22+N22))*100</f>
        <v>100</v>
      </c>
    </row>
    <row r="23" spans="1:19" x14ac:dyDescent="0.3">
      <c r="A23" s="5">
        <v>12</v>
      </c>
      <c r="B23" s="1" t="s">
        <v>20</v>
      </c>
      <c r="C23" s="1" t="s">
        <v>26</v>
      </c>
      <c r="D23" s="1" t="s">
        <v>26</v>
      </c>
      <c r="E23" s="1">
        <v>0.5</v>
      </c>
      <c r="F23" s="1" t="s">
        <v>22</v>
      </c>
      <c r="G23" s="1">
        <v>1</v>
      </c>
      <c r="H23" s="1">
        <v>6</v>
      </c>
      <c r="I23" s="1">
        <v>24</v>
      </c>
      <c r="J23" s="1" t="s">
        <v>29</v>
      </c>
      <c r="K23" s="1" t="s">
        <v>8</v>
      </c>
      <c r="L23" s="1">
        <v>10</v>
      </c>
      <c r="M23" s="1">
        <v>94</v>
      </c>
      <c r="N23" s="1">
        <v>0</v>
      </c>
      <c r="O23" s="1">
        <v>0</v>
      </c>
      <c r="P23" s="1">
        <v>0</v>
      </c>
      <c r="Q23" s="1">
        <f>L23+M23+N23+O23+P23</f>
        <v>104</v>
      </c>
      <c r="R23" s="1">
        <f>100-L23</f>
        <v>90</v>
      </c>
      <c r="S23" s="3">
        <f>(M23/(M23+N23))*100</f>
        <v>100</v>
      </c>
    </row>
    <row r="24" spans="1:19" x14ac:dyDescent="0.3">
      <c r="A24" s="5">
        <v>13</v>
      </c>
      <c r="B24" s="1" t="s">
        <v>20</v>
      </c>
      <c r="C24" s="1" t="s">
        <v>26</v>
      </c>
      <c r="D24" s="1" t="s">
        <v>26</v>
      </c>
      <c r="E24" s="1">
        <v>1</v>
      </c>
      <c r="F24" s="1" t="s">
        <v>22</v>
      </c>
      <c r="G24" s="1">
        <v>1</v>
      </c>
      <c r="H24" s="1">
        <v>6</v>
      </c>
      <c r="I24" s="1">
        <v>24</v>
      </c>
      <c r="J24" s="1" t="s">
        <v>29</v>
      </c>
      <c r="K24" s="1" t="s">
        <v>8</v>
      </c>
      <c r="L24" s="1">
        <v>5</v>
      </c>
      <c r="M24" s="1">
        <v>88</v>
      </c>
      <c r="N24" s="1">
        <v>0</v>
      </c>
      <c r="O24" s="1">
        <v>0</v>
      </c>
      <c r="P24" s="1">
        <v>0</v>
      </c>
      <c r="Q24" s="1">
        <f>L24+M24+N24+O24+P24</f>
        <v>93</v>
      </c>
      <c r="R24" s="1">
        <f>100-L24</f>
        <v>95</v>
      </c>
      <c r="S24" s="3">
        <f>(M24/(M24+N24))*100</f>
        <v>100</v>
      </c>
    </row>
    <row r="25" spans="1:19" x14ac:dyDescent="0.3">
      <c r="A25" s="5">
        <v>14</v>
      </c>
      <c r="B25" s="1" t="s">
        <v>20</v>
      </c>
      <c r="C25" s="1" t="s">
        <v>26</v>
      </c>
      <c r="D25" s="1" t="s">
        <v>26</v>
      </c>
      <c r="E25" s="1">
        <v>0.25</v>
      </c>
      <c r="F25" s="1" t="s">
        <v>22</v>
      </c>
      <c r="G25" s="1">
        <v>0.5</v>
      </c>
      <c r="H25" s="1">
        <v>10</v>
      </c>
      <c r="I25" s="1">
        <v>24</v>
      </c>
      <c r="J25" s="1" t="s">
        <v>29</v>
      </c>
      <c r="K25" s="1" t="s">
        <v>8</v>
      </c>
      <c r="L25" s="1">
        <v>17</v>
      </c>
      <c r="M25" s="1">
        <v>87</v>
      </c>
      <c r="N25" s="1">
        <v>0</v>
      </c>
      <c r="O25" s="1">
        <v>0</v>
      </c>
      <c r="P25" s="1">
        <v>0</v>
      </c>
      <c r="Q25" s="1">
        <f>L25+M25+N25+O25+P25</f>
        <v>104</v>
      </c>
      <c r="R25" s="1">
        <f>100-L25</f>
        <v>83</v>
      </c>
      <c r="S25" s="3">
        <f>(M25/(M25+N25))*100</f>
        <v>100</v>
      </c>
    </row>
    <row r="26" spans="1:19" x14ac:dyDescent="0.3">
      <c r="A26" s="5">
        <v>15</v>
      </c>
      <c r="B26" s="1" t="s">
        <v>20</v>
      </c>
      <c r="C26" s="1" t="s">
        <v>26</v>
      </c>
      <c r="D26" s="1" t="s">
        <v>26</v>
      </c>
      <c r="E26" s="1">
        <v>1</v>
      </c>
      <c r="F26" s="1" t="s">
        <v>22</v>
      </c>
      <c r="G26" s="1">
        <v>0.5</v>
      </c>
      <c r="H26" s="1">
        <v>10</v>
      </c>
      <c r="I26" s="1">
        <v>24</v>
      </c>
      <c r="J26" s="1" t="s">
        <v>29</v>
      </c>
      <c r="K26" s="1" t="s">
        <v>8</v>
      </c>
      <c r="L26" s="1">
        <v>15</v>
      </c>
      <c r="M26" s="1">
        <v>82</v>
      </c>
      <c r="N26" s="1">
        <v>0</v>
      </c>
      <c r="O26" s="1">
        <v>0</v>
      </c>
      <c r="P26" s="1">
        <v>0</v>
      </c>
      <c r="Q26" s="1">
        <f>L26+M26+N26+O26+P26</f>
        <v>97</v>
      </c>
      <c r="R26" s="1">
        <f>100-L26</f>
        <v>85</v>
      </c>
      <c r="S26" s="3">
        <f>(M26/(M26+N26))*100</f>
        <v>100</v>
      </c>
    </row>
    <row r="27" spans="1:19" x14ac:dyDescent="0.3">
      <c r="A27" s="5">
        <v>16</v>
      </c>
      <c r="B27" s="1" t="s">
        <v>20</v>
      </c>
      <c r="C27" s="1" t="s">
        <v>26</v>
      </c>
      <c r="D27" s="1" t="s">
        <v>26</v>
      </c>
      <c r="E27" s="1">
        <v>0.5</v>
      </c>
      <c r="F27" s="1" t="s">
        <v>22</v>
      </c>
      <c r="G27" s="1">
        <v>0.3</v>
      </c>
      <c r="H27" s="1">
        <v>12</v>
      </c>
      <c r="I27" s="1">
        <v>24</v>
      </c>
      <c r="J27" s="1" t="s">
        <v>29</v>
      </c>
      <c r="K27" s="1" t="s">
        <v>8</v>
      </c>
      <c r="L27" s="1">
        <v>13</v>
      </c>
      <c r="M27" s="1">
        <v>80</v>
      </c>
      <c r="N27" s="1">
        <v>0</v>
      </c>
      <c r="O27" s="1">
        <v>0</v>
      </c>
      <c r="P27" s="1">
        <v>0</v>
      </c>
      <c r="Q27" s="1">
        <f>L27+M27+N27+O27+P27</f>
        <v>93</v>
      </c>
      <c r="R27" s="1">
        <f>100-L27</f>
        <v>87</v>
      </c>
      <c r="S27" s="3">
        <f>(M27/(M27+N27))*100</f>
        <v>100</v>
      </c>
    </row>
    <row r="28" spans="1:19" x14ac:dyDescent="0.3">
      <c r="A28" s="5">
        <v>17</v>
      </c>
      <c r="B28" s="1" t="s">
        <v>20</v>
      </c>
      <c r="C28" s="1" t="s">
        <v>26</v>
      </c>
      <c r="D28" s="1" t="s">
        <v>26</v>
      </c>
      <c r="E28" s="1">
        <v>0.5</v>
      </c>
      <c r="F28" s="1" t="s">
        <v>22</v>
      </c>
      <c r="G28" s="1">
        <v>0.5</v>
      </c>
      <c r="H28" s="1">
        <v>8</v>
      </c>
      <c r="I28" s="1">
        <v>24</v>
      </c>
      <c r="J28" s="1" t="s">
        <v>29</v>
      </c>
      <c r="K28" s="1" t="s">
        <v>8</v>
      </c>
      <c r="L28" s="1">
        <v>22</v>
      </c>
      <c r="M28" s="1">
        <v>80</v>
      </c>
      <c r="N28" s="1">
        <v>0</v>
      </c>
      <c r="O28" s="1">
        <v>0</v>
      </c>
      <c r="P28" s="1">
        <v>0</v>
      </c>
      <c r="Q28" s="1">
        <f>L28+M28+N28+O28+P28</f>
        <v>102</v>
      </c>
      <c r="R28" s="1">
        <f>100-L28</f>
        <v>78</v>
      </c>
      <c r="S28" s="3">
        <f>(M28/(M28+N28))*100</f>
        <v>100</v>
      </c>
    </row>
    <row r="29" spans="1:19" x14ac:dyDescent="0.3">
      <c r="A29" s="5">
        <v>18</v>
      </c>
      <c r="B29" s="1" t="s">
        <v>20</v>
      </c>
      <c r="C29" s="1" t="s">
        <v>26</v>
      </c>
      <c r="D29" s="1" t="s">
        <v>26</v>
      </c>
      <c r="E29" s="1">
        <v>0.5</v>
      </c>
      <c r="F29" s="1" t="s">
        <v>22</v>
      </c>
      <c r="G29" s="1">
        <v>1</v>
      </c>
      <c r="H29" s="1">
        <v>7</v>
      </c>
      <c r="I29" s="1">
        <v>24</v>
      </c>
      <c r="J29" s="1" t="s">
        <v>29</v>
      </c>
      <c r="K29" s="1" t="s">
        <v>8</v>
      </c>
      <c r="L29" s="1">
        <v>10</v>
      </c>
      <c r="M29" s="1">
        <v>80</v>
      </c>
      <c r="N29" s="1">
        <v>0</v>
      </c>
      <c r="O29" s="1">
        <v>0</v>
      </c>
      <c r="P29" s="1">
        <v>0</v>
      </c>
      <c r="Q29" s="1">
        <f>L29+M29+N29+O29+P29</f>
        <v>90</v>
      </c>
      <c r="R29" s="1">
        <f>100-L29</f>
        <v>90</v>
      </c>
      <c r="S29" s="3">
        <f>(M29/(M29+N29))*100</f>
        <v>100</v>
      </c>
    </row>
    <row r="30" spans="1:19" x14ac:dyDescent="0.3">
      <c r="A30" s="5">
        <v>19</v>
      </c>
      <c r="B30" s="1" t="s">
        <v>20</v>
      </c>
      <c r="C30" s="1" t="s">
        <v>26</v>
      </c>
      <c r="D30" s="1" t="s">
        <v>26</v>
      </c>
      <c r="E30" s="1">
        <v>0.1</v>
      </c>
      <c r="F30" s="1" t="s">
        <v>22</v>
      </c>
      <c r="G30" s="1">
        <v>0.5</v>
      </c>
      <c r="H30" s="1">
        <v>10</v>
      </c>
      <c r="I30" s="1">
        <v>24</v>
      </c>
      <c r="J30" s="1" t="s">
        <v>29</v>
      </c>
      <c r="K30" s="1" t="s">
        <v>8</v>
      </c>
      <c r="L30" s="1">
        <v>18</v>
      </c>
      <c r="M30" s="1">
        <v>76</v>
      </c>
      <c r="N30" s="1">
        <v>0</v>
      </c>
      <c r="O30" s="1">
        <v>0</v>
      </c>
      <c r="P30" s="1">
        <v>0</v>
      </c>
      <c r="Q30" s="1">
        <f>L30+M30+N30+O30+P30</f>
        <v>94</v>
      </c>
      <c r="R30" s="1">
        <f>100-L30</f>
        <v>82</v>
      </c>
      <c r="S30" s="3">
        <f>(M30/(M30+N30))*100</f>
        <v>100</v>
      </c>
    </row>
    <row r="31" spans="1:19" x14ac:dyDescent="0.3">
      <c r="A31" s="5">
        <v>20</v>
      </c>
      <c r="B31" s="1" t="s">
        <v>20</v>
      </c>
      <c r="C31" s="1" t="s">
        <v>26</v>
      </c>
      <c r="D31" s="1" t="s">
        <v>26</v>
      </c>
      <c r="E31" s="1">
        <v>1</v>
      </c>
      <c r="F31" s="1" t="s">
        <v>22</v>
      </c>
      <c r="G31" s="1">
        <v>1</v>
      </c>
      <c r="H31" s="1">
        <v>6</v>
      </c>
      <c r="I31" s="1">
        <v>24</v>
      </c>
      <c r="J31" s="1" t="s">
        <v>29</v>
      </c>
      <c r="K31" s="1" t="s">
        <v>8</v>
      </c>
      <c r="L31" s="1">
        <v>24</v>
      </c>
      <c r="M31" s="1">
        <v>71</v>
      </c>
      <c r="N31" s="1">
        <v>0</v>
      </c>
      <c r="O31" s="1">
        <v>0</v>
      </c>
      <c r="P31" s="1">
        <v>0</v>
      </c>
      <c r="Q31" s="1">
        <f>L31+M31+N31+O31+P31</f>
        <v>95</v>
      </c>
      <c r="R31" s="1">
        <f>100-L31</f>
        <v>76</v>
      </c>
      <c r="S31" s="3">
        <f>(M31/(M31+N31))*100</f>
        <v>100</v>
      </c>
    </row>
    <row r="32" spans="1:19" x14ac:dyDescent="0.3">
      <c r="A32" s="5">
        <v>21</v>
      </c>
      <c r="B32" s="1" t="s">
        <v>20</v>
      </c>
      <c r="C32" s="1" t="s">
        <v>26</v>
      </c>
      <c r="D32" s="1" t="s">
        <v>26</v>
      </c>
      <c r="E32" s="1">
        <v>0.1</v>
      </c>
      <c r="F32" s="1" t="s">
        <v>22</v>
      </c>
      <c r="G32" s="1">
        <v>0.5</v>
      </c>
      <c r="H32" s="1">
        <v>8</v>
      </c>
      <c r="I32" s="1">
        <v>24</v>
      </c>
      <c r="J32" s="1" t="s">
        <v>29</v>
      </c>
      <c r="K32" s="1" t="s">
        <v>8</v>
      </c>
      <c r="L32" s="1">
        <v>48</v>
      </c>
      <c r="M32" s="1">
        <v>62</v>
      </c>
      <c r="N32" s="1">
        <v>0</v>
      </c>
      <c r="O32" s="1">
        <v>0</v>
      </c>
      <c r="P32" s="1">
        <v>0</v>
      </c>
      <c r="Q32" s="1">
        <f>L32+M32+N32+O32+P32</f>
        <v>110</v>
      </c>
      <c r="R32" s="1">
        <f>100-L32</f>
        <v>52</v>
      </c>
      <c r="S32" s="3">
        <f>(M32/(M32+N32))*100</f>
        <v>100</v>
      </c>
    </row>
    <row r="33" spans="1:19" x14ac:dyDescent="0.3">
      <c r="A33" s="5">
        <v>22</v>
      </c>
      <c r="B33" s="1" t="s">
        <v>20</v>
      </c>
      <c r="C33" s="1" t="s">
        <v>26</v>
      </c>
      <c r="D33" s="1" t="s">
        <v>26</v>
      </c>
      <c r="E33" s="1">
        <v>0.25</v>
      </c>
      <c r="F33" s="1" t="s">
        <v>22</v>
      </c>
      <c r="G33" s="1">
        <v>1</v>
      </c>
      <c r="H33" s="1">
        <v>6</v>
      </c>
      <c r="I33" s="1">
        <v>24</v>
      </c>
      <c r="J33" s="1" t="s">
        <v>29</v>
      </c>
      <c r="K33" s="1" t="s">
        <v>8</v>
      </c>
      <c r="L33" s="1">
        <v>36</v>
      </c>
      <c r="M33" s="1">
        <v>58</v>
      </c>
      <c r="N33" s="1">
        <v>0</v>
      </c>
      <c r="O33" s="1">
        <v>0</v>
      </c>
      <c r="P33" s="1">
        <v>0</v>
      </c>
      <c r="Q33" s="1">
        <f>L33+M33+N33+O33+P33</f>
        <v>94</v>
      </c>
      <c r="R33" s="1">
        <f>100-L33</f>
        <v>64</v>
      </c>
      <c r="S33" s="3">
        <f>(M33/(M33+N33))*100</f>
        <v>100</v>
      </c>
    </row>
    <row r="34" spans="1:19" x14ac:dyDescent="0.3">
      <c r="A34" s="5">
        <v>23</v>
      </c>
      <c r="B34" s="1" t="s">
        <v>20</v>
      </c>
      <c r="C34" s="1" t="s">
        <v>26</v>
      </c>
      <c r="D34" s="1" t="s">
        <v>26</v>
      </c>
      <c r="E34" s="1">
        <v>0.25</v>
      </c>
      <c r="F34" s="1" t="s">
        <v>22</v>
      </c>
      <c r="G34" s="1">
        <v>0.5</v>
      </c>
      <c r="H34" s="1">
        <v>6</v>
      </c>
      <c r="I34" s="1">
        <v>24</v>
      </c>
      <c r="J34" s="1" t="s">
        <v>29</v>
      </c>
      <c r="K34" s="1" t="s">
        <v>8</v>
      </c>
      <c r="L34" s="1">
        <v>49</v>
      </c>
      <c r="M34" s="1">
        <v>46</v>
      </c>
      <c r="N34" s="1">
        <v>0</v>
      </c>
      <c r="O34" s="1">
        <v>0</v>
      </c>
      <c r="P34" s="1">
        <v>0</v>
      </c>
      <c r="Q34" s="1">
        <f>L34+M34+N34+O34+P34</f>
        <v>95</v>
      </c>
      <c r="R34" s="1">
        <f>100-L34</f>
        <v>51</v>
      </c>
      <c r="S34" s="3">
        <f>(M34/(M34+N34))*100</f>
        <v>100</v>
      </c>
    </row>
    <row r="35" spans="1:19" x14ac:dyDescent="0.3">
      <c r="A35" s="5">
        <v>24</v>
      </c>
      <c r="B35" s="1" t="s">
        <v>20</v>
      </c>
      <c r="C35" s="1" t="s">
        <v>26</v>
      </c>
      <c r="D35" s="1" t="s">
        <v>26</v>
      </c>
      <c r="E35" s="1">
        <v>1</v>
      </c>
      <c r="F35" s="1" t="s">
        <v>22</v>
      </c>
      <c r="G35" s="1">
        <v>0.5</v>
      </c>
      <c r="H35" s="1">
        <v>6</v>
      </c>
      <c r="I35" s="1">
        <v>24</v>
      </c>
      <c r="J35" s="1" t="s">
        <v>29</v>
      </c>
      <c r="K35" s="1" t="s">
        <v>8</v>
      </c>
      <c r="L35" s="1">
        <v>66</v>
      </c>
      <c r="M35" s="1">
        <v>35</v>
      </c>
      <c r="N35" s="1">
        <v>0</v>
      </c>
      <c r="O35" s="1">
        <v>0</v>
      </c>
      <c r="P35" s="1">
        <v>0</v>
      </c>
      <c r="Q35" s="1">
        <f>L35+M35+N35+O35+P35</f>
        <v>101</v>
      </c>
      <c r="R35" s="1">
        <f>100-L35</f>
        <v>34</v>
      </c>
      <c r="S35" s="3">
        <f>(M35/(M35+N35))*100</f>
        <v>100</v>
      </c>
    </row>
    <row r="36" spans="1:19" x14ac:dyDescent="0.3">
      <c r="A36" s="5">
        <v>25</v>
      </c>
      <c r="B36" s="1" t="s">
        <v>20</v>
      </c>
      <c r="C36" s="1" t="s">
        <v>26</v>
      </c>
      <c r="D36" s="1" t="s">
        <v>26</v>
      </c>
      <c r="E36" s="1">
        <v>0.25</v>
      </c>
      <c r="F36" s="1" t="s">
        <v>22</v>
      </c>
      <c r="G36" s="1">
        <v>1</v>
      </c>
      <c r="H36" s="1">
        <v>8</v>
      </c>
      <c r="I36" s="1">
        <v>24</v>
      </c>
      <c r="J36" s="1" t="s">
        <v>29</v>
      </c>
      <c r="K36" s="1" t="s">
        <v>8</v>
      </c>
      <c r="L36" s="1">
        <v>0</v>
      </c>
      <c r="M36" s="1">
        <v>97</v>
      </c>
      <c r="N36" s="1">
        <v>0.5</v>
      </c>
      <c r="O36" s="1">
        <v>0</v>
      </c>
      <c r="P36" s="1">
        <v>0</v>
      </c>
      <c r="Q36" s="1">
        <f>L36+M36+N36+O36+P36</f>
        <v>97.5</v>
      </c>
      <c r="R36" s="1">
        <f>100-L36</f>
        <v>100</v>
      </c>
      <c r="S36" s="3">
        <f>(M36/(M36+N36))*100</f>
        <v>99.487179487179489</v>
      </c>
    </row>
    <row r="37" spans="1:19" x14ac:dyDescent="0.3">
      <c r="A37" s="5">
        <v>26</v>
      </c>
      <c r="B37" s="1" t="s">
        <v>20</v>
      </c>
      <c r="C37" s="1" t="s">
        <v>26</v>
      </c>
      <c r="D37" s="1" t="s">
        <v>26</v>
      </c>
      <c r="E37" s="1">
        <v>0.25</v>
      </c>
      <c r="F37" s="1" t="s">
        <v>22</v>
      </c>
      <c r="G37" s="1">
        <v>0.5</v>
      </c>
      <c r="H37" s="1">
        <v>12</v>
      </c>
      <c r="I37" s="1">
        <v>24</v>
      </c>
      <c r="J37" s="1" t="s">
        <v>29</v>
      </c>
      <c r="K37" s="1" t="s">
        <v>8</v>
      </c>
      <c r="L37" s="1">
        <v>0</v>
      </c>
      <c r="M37" s="1">
        <v>97</v>
      </c>
      <c r="N37" s="1">
        <v>1</v>
      </c>
      <c r="O37" s="1">
        <v>0</v>
      </c>
      <c r="P37" s="1">
        <v>0</v>
      </c>
      <c r="Q37" s="1">
        <f>L37+M37+N37+O37+P37</f>
        <v>98</v>
      </c>
      <c r="R37" s="1">
        <f>100-L37</f>
        <v>100</v>
      </c>
      <c r="S37" s="3">
        <f>(M37/(M37+N37))*100</f>
        <v>98.979591836734699</v>
      </c>
    </row>
    <row r="38" spans="1:19" x14ac:dyDescent="0.3">
      <c r="A38" s="5">
        <v>27</v>
      </c>
      <c r="B38" s="1" t="s">
        <v>20</v>
      </c>
      <c r="C38" s="1" t="s">
        <v>26</v>
      </c>
      <c r="D38" s="1" t="s">
        <v>26</v>
      </c>
      <c r="E38" s="1">
        <v>1</v>
      </c>
      <c r="F38" s="1" t="s">
        <v>22</v>
      </c>
      <c r="G38" s="1">
        <v>0.5</v>
      </c>
      <c r="H38" s="1">
        <v>8</v>
      </c>
      <c r="I38" s="1">
        <v>24</v>
      </c>
      <c r="J38" s="1" t="s">
        <v>29</v>
      </c>
      <c r="K38" s="1" t="s">
        <v>8</v>
      </c>
      <c r="L38" s="1">
        <v>6</v>
      </c>
      <c r="M38" s="1">
        <v>95</v>
      </c>
      <c r="N38" s="1">
        <v>1</v>
      </c>
      <c r="O38" s="1">
        <v>0</v>
      </c>
      <c r="P38" s="1">
        <v>0</v>
      </c>
      <c r="Q38" s="1">
        <f>L38+M38+N38+O38+P38</f>
        <v>102</v>
      </c>
      <c r="R38" s="1">
        <f>100-L38</f>
        <v>94</v>
      </c>
      <c r="S38" s="3">
        <f>(M38/(M38+N38))*100</f>
        <v>98.958333333333343</v>
      </c>
    </row>
    <row r="39" spans="1:19" x14ac:dyDescent="0.3">
      <c r="A39" s="5">
        <v>28</v>
      </c>
      <c r="B39" s="1" t="s">
        <v>20</v>
      </c>
      <c r="C39" s="1" t="s">
        <v>26</v>
      </c>
      <c r="D39" s="1" t="s">
        <v>26</v>
      </c>
      <c r="E39" s="1">
        <v>1</v>
      </c>
      <c r="F39" s="1" t="s">
        <v>22</v>
      </c>
      <c r="G39" s="1">
        <v>1</v>
      </c>
      <c r="H39" s="1">
        <v>7</v>
      </c>
      <c r="I39" s="1">
        <v>24</v>
      </c>
      <c r="J39" s="1" t="s">
        <v>29</v>
      </c>
      <c r="K39" s="1" t="s">
        <v>8</v>
      </c>
      <c r="L39" s="1">
        <v>0</v>
      </c>
      <c r="M39" s="1">
        <v>90</v>
      </c>
      <c r="N39" s="1">
        <v>1</v>
      </c>
      <c r="O39" s="1">
        <v>0</v>
      </c>
      <c r="P39" s="1">
        <v>0</v>
      </c>
      <c r="Q39" s="1">
        <f>L39+M39+N39+O39+P39</f>
        <v>91</v>
      </c>
      <c r="R39" s="1">
        <f>100-L39</f>
        <v>100</v>
      </c>
      <c r="S39" s="3">
        <f>(M39/(M39+N39))*100</f>
        <v>98.901098901098905</v>
      </c>
    </row>
    <row r="40" spans="1:19" x14ac:dyDescent="0.3">
      <c r="A40" s="5">
        <v>29</v>
      </c>
      <c r="B40" s="1" t="s">
        <v>20</v>
      </c>
      <c r="C40" s="1" t="s">
        <v>26</v>
      </c>
      <c r="D40" s="1" t="s">
        <v>26</v>
      </c>
      <c r="E40" s="1">
        <v>0.5</v>
      </c>
      <c r="F40" s="1" t="s">
        <v>22</v>
      </c>
      <c r="G40" s="1">
        <v>0.5</v>
      </c>
      <c r="H40" s="1">
        <v>10</v>
      </c>
      <c r="I40" s="1">
        <v>24</v>
      </c>
      <c r="J40" s="1" t="s">
        <v>29</v>
      </c>
      <c r="K40" s="1" t="s">
        <v>8</v>
      </c>
      <c r="L40" s="1">
        <v>5</v>
      </c>
      <c r="M40" s="1">
        <v>102</v>
      </c>
      <c r="N40" s="1">
        <v>2</v>
      </c>
      <c r="O40" s="1">
        <v>0</v>
      </c>
      <c r="P40" s="1">
        <v>0</v>
      </c>
      <c r="Q40" s="1">
        <f>L40+M40+N40+O40+P40</f>
        <v>109</v>
      </c>
      <c r="R40" s="1">
        <f>100-L40</f>
        <v>95</v>
      </c>
      <c r="S40" s="3">
        <f>(M40/(M40+N40))*100</f>
        <v>98.076923076923066</v>
      </c>
    </row>
    <row r="41" spans="1:19" x14ac:dyDescent="0.3">
      <c r="A41" s="5">
        <v>30</v>
      </c>
      <c r="B41" s="1" t="s">
        <v>20</v>
      </c>
      <c r="C41" s="1" t="s">
        <v>26</v>
      </c>
      <c r="D41" s="1" t="s">
        <v>26</v>
      </c>
      <c r="E41" s="1">
        <v>0.5</v>
      </c>
      <c r="F41" s="1" t="s">
        <v>22</v>
      </c>
      <c r="G41" s="1">
        <v>1</v>
      </c>
      <c r="H41" s="1">
        <v>8</v>
      </c>
      <c r="I41" s="1">
        <v>24</v>
      </c>
      <c r="J41" s="1" t="s">
        <v>29</v>
      </c>
      <c r="K41" s="1" t="s">
        <v>8</v>
      </c>
      <c r="L41" s="1">
        <v>0</v>
      </c>
      <c r="M41" s="1">
        <v>100</v>
      </c>
      <c r="N41" s="1">
        <v>2</v>
      </c>
      <c r="O41" s="1">
        <v>0</v>
      </c>
      <c r="P41" s="1">
        <v>0</v>
      </c>
      <c r="Q41" s="1">
        <f>L41+M41+N41+O41+P41</f>
        <v>102</v>
      </c>
      <c r="R41" s="1">
        <f>100-L41</f>
        <v>100</v>
      </c>
      <c r="S41" s="3">
        <f>(M41/(M41+N41))*100</f>
        <v>98.039215686274503</v>
      </c>
    </row>
    <row r="42" spans="1:19" x14ac:dyDescent="0.3">
      <c r="A42" s="5">
        <v>31</v>
      </c>
      <c r="B42" s="1" t="s">
        <v>20</v>
      </c>
      <c r="C42" s="1" t="s">
        <v>26</v>
      </c>
      <c r="D42" s="1" t="s">
        <v>26</v>
      </c>
      <c r="E42" s="1">
        <v>0.5</v>
      </c>
      <c r="F42" s="1" t="s">
        <v>22</v>
      </c>
      <c r="G42" s="1">
        <v>0.5</v>
      </c>
      <c r="H42" s="1">
        <v>12</v>
      </c>
      <c r="I42" s="1">
        <v>24</v>
      </c>
      <c r="J42" s="1" t="s">
        <v>29</v>
      </c>
      <c r="K42" s="1" t="s">
        <v>8</v>
      </c>
      <c r="L42" s="1">
        <v>0</v>
      </c>
      <c r="M42" s="1">
        <v>96</v>
      </c>
      <c r="N42" s="1">
        <v>2</v>
      </c>
      <c r="O42" s="1">
        <v>0</v>
      </c>
      <c r="P42" s="1">
        <v>0</v>
      </c>
      <c r="Q42" s="1">
        <f>L42+M42+N42+O42+P42</f>
        <v>98</v>
      </c>
      <c r="R42" s="1">
        <f>100-L42</f>
        <v>100</v>
      </c>
      <c r="S42" s="3">
        <f>(M42/(M42+N42))*100</f>
        <v>97.959183673469383</v>
      </c>
    </row>
    <row r="43" spans="1:19" x14ac:dyDescent="0.3">
      <c r="A43" s="5">
        <v>32</v>
      </c>
      <c r="B43" s="1" t="s">
        <v>20</v>
      </c>
      <c r="C43" s="1" t="s">
        <v>26</v>
      </c>
      <c r="D43" s="1" t="s">
        <v>26</v>
      </c>
      <c r="E43" s="1">
        <v>0.5</v>
      </c>
      <c r="F43" s="1" t="s">
        <v>22</v>
      </c>
      <c r="G43" s="1">
        <v>1</v>
      </c>
      <c r="H43" s="1">
        <v>10</v>
      </c>
      <c r="I43" s="1">
        <v>24</v>
      </c>
      <c r="J43" s="1" t="s">
        <v>29</v>
      </c>
      <c r="K43" s="1" t="s">
        <v>8</v>
      </c>
      <c r="L43" s="1">
        <v>0</v>
      </c>
      <c r="M43" s="1">
        <v>96</v>
      </c>
      <c r="N43" s="1">
        <v>2</v>
      </c>
      <c r="O43" s="1">
        <v>0</v>
      </c>
      <c r="P43" s="1">
        <v>0</v>
      </c>
      <c r="Q43" s="1">
        <f>L43+M43+N43+O43+P43</f>
        <v>98</v>
      </c>
      <c r="R43" s="1">
        <f>100-L43</f>
        <v>100</v>
      </c>
      <c r="S43" s="3">
        <f>(M43/(M43+N43))*100</f>
        <v>97.959183673469383</v>
      </c>
    </row>
    <row r="44" spans="1:19" x14ac:dyDescent="0.3">
      <c r="A44" s="5">
        <v>33</v>
      </c>
      <c r="B44" s="1" t="s">
        <v>20</v>
      </c>
      <c r="C44" s="1" t="s">
        <v>26</v>
      </c>
      <c r="D44" s="1" t="s">
        <v>26</v>
      </c>
      <c r="E44" s="1">
        <v>1</v>
      </c>
      <c r="F44" s="1" t="s">
        <v>22</v>
      </c>
      <c r="G44" s="1">
        <v>0.5</v>
      </c>
      <c r="H44" s="1">
        <v>12</v>
      </c>
      <c r="I44" s="1">
        <v>24</v>
      </c>
      <c r="J44" s="1" t="s">
        <v>29</v>
      </c>
      <c r="K44" s="1" t="s">
        <v>8</v>
      </c>
      <c r="L44" s="1">
        <v>0</v>
      </c>
      <c r="M44" s="1">
        <v>100</v>
      </c>
      <c r="N44" s="1">
        <v>3</v>
      </c>
      <c r="O44" s="1">
        <v>0</v>
      </c>
      <c r="P44" s="1">
        <v>0</v>
      </c>
      <c r="Q44" s="1">
        <f>L44+M44+N44+O44+P44</f>
        <v>103</v>
      </c>
      <c r="R44" s="1">
        <f>100-L44</f>
        <v>100</v>
      </c>
      <c r="S44" s="3">
        <f>(M44/(M44+N44))*100</f>
        <v>97.087378640776706</v>
      </c>
    </row>
    <row r="45" spans="1:19" x14ac:dyDescent="0.3">
      <c r="A45" s="5">
        <v>34</v>
      </c>
      <c r="B45" s="1" t="s">
        <v>20</v>
      </c>
      <c r="C45" s="1" t="s">
        <v>26</v>
      </c>
      <c r="D45" s="5" t="s">
        <v>26</v>
      </c>
      <c r="E45" s="1">
        <v>0.5</v>
      </c>
      <c r="F45" s="1" t="s">
        <v>22</v>
      </c>
      <c r="G45" s="1">
        <v>1</v>
      </c>
      <c r="H45" s="1">
        <v>12</v>
      </c>
      <c r="I45" s="1">
        <v>24</v>
      </c>
      <c r="J45" s="1" t="s">
        <v>29</v>
      </c>
      <c r="K45" s="1" t="s">
        <v>8</v>
      </c>
      <c r="L45" s="1">
        <v>0</v>
      </c>
      <c r="M45" s="1">
        <v>97</v>
      </c>
      <c r="N45" s="1">
        <v>4</v>
      </c>
      <c r="O45" s="1">
        <v>0</v>
      </c>
      <c r="P45" s="1">
        <v>0</v>
      </c>
      <c r="Q45" s="1">
        <f>L45+M45+N45+O45+P45</f>
        <v>101</v>
      </c>
      <c r="R45" s="1">
        <f>100-L45</f>
        <v>100</v>
      </c>
      <c r="S45" s="3">
        <f>(M45/(M45+N45))*100</f>
        <v>96.039603960396036</v>
      </c>
    </row>
    <row r="46" spans="1:19" x14ac:dyDescent="0.3">
      <c r="A46" s="5">
        <v>35</v>
      </c>
      <c r="B46" s="1" t="s">
        <v>20</v>
      </c>
      <c r="C46" s="1" t="s">
        <v>26</v>
      </c>
      <c r="D46" s="1" t="s">
        <v>26</v>
      </c>
      <c r="E46" s="1">
        <v>0.5</v>
      </c>
      <c r="F46" s="1" t="s">
        <v>22</v>
      </c>
      <c r="G46" s="1">
        <v>3</v>
      </c>
      <c r="H46" s="1">
        <v>12</v>
      </c>
      <c r="I46" s="1">
        <v>24</v>
      </c>
      <c r="J46" s="1" t="s">
        <v>29</v>
      </c>
      <c r="K46" s="1" t="s">
        <v>8</v>
      </c>
      <c r="L46" s="1">
        <v>0</v>
      </c>
      <c r="M46" s="1">
        <v>96</v>
      </c>
      <c r="N46" s="1">
        <v>4</v>
      </c>
      <c r="O46" s="1">
        <v>0</v>
      </c>
      <c r="P46" s="1">
        <v>0</v>
      </c>
      <c r="Q46" s="1">
        <f>L46+M46+N46+O46+P46</f>
        <v>100</v>
      </c>
      <c r="R46" s="1">
        <f>100-L46</f>
        <v>100</v>
      </c>
      <c r="S46" s="3">
        <f>(M46/(M46+N46))*100</f>
        <v>96</v>
      </c>
    </row>
    <row r="47" spans="1:19" x14ac:dyDescent="0.3">
      <c r="A47" s="5">
        <v>36</v>
      </c>
      <c r="B47" s="1" t="s">
        <v>20</v>
      </c>
      <c r="C47" s="1" t="s">
        <v>26</v>
      </c>
      <c r="D47" s="1" t="s">
        <v>26</v>
      </c>
      <c r="E47" s="1">
        <v>0.5</v>
      </c>
      <c r="F47" s="1" t="s">
        <v>22</v>
      </c>
      <c r="G47" s="1">
        <v>2</v>
      </c>
      <c r="H47" s="1">
        <v>12</v>
      </c>
      <c r="I47" s="1">
        <v>24</v>
      </c>
      <c r="J47" s="1" t="s">
        <v>29</v>
      </c>
      <c r="K47" s="1" t="s">
        <v>8</v>
      </c>
      <c r="L47" s="1">
        <v>0</v>
      </c>
      <c r="M47" s="1">
        <v>95</v>
      </c>
      <c r="N47" s="1">
        <v>4</v>
      </c>
      <c r="O47" s="1">
        <v>0</v>
      </c>
      <c r="P47" s="1">
        <v>0</v>
      </c>
      <c r="Q47" s="1">
        <f>L47+M47+N47+O47+P47</f>
        <v>99</v>
      </c>
      <c r="R47" s="1">
        <f>100-L47</f>
        <v>100</v>
      </c>
      <c r="S47" s="3">
        <f>(M47/(M47+N47))*100</f>
        <v>95.959595959595958</v>
      </c>
    </row>
    <row r="48" spans="1:19" x14ac:dyDescent="0.3">
      <c r="A48" s="5">
        <v>37</v>
      </c>
      <c r="B48" s="1" t="s">
        <v>20</v>
      </c>
      <c r="C48" s="1" t="s">
        <v>26</v>
      </c>
      <c r="D48" s="1" t="s">
        <v>26</v>
      </c>
      <c r="E48" s="1">
        <v>0.5</v>
      </c>
      <c r="F48" s="1" t="s">
        <v>22</v>
      </c>
      <c r="G48" s="1">
        <v>2</v>
      </c>
      <c r="H48" s="1">
        <v>10</v>
      </c>
      <c r="I48" s="1">
        <v>24</v>
      </c>
      <c r="J48" s="1" t="s">
        <v>23</v>
      </c>
      <c r="K48" s="1" t="s">
        <v>8</v>
      </c>
      <c r="L48" s="1">
        <v>0</v>
      </c>
      <c r="M48" s="1">
        <v>93</v>
      </c>
      <c r="N48" s="1">
        <v>4</v>
      </c>
      <c r="O48" s="1">
        <v>0</v>
      </c>
      <c r="P48" s="1">
        <v>0</v>
      </c>
      <c r="Q48" s="1">
        <f>L48+M48+N48+O48+P48</f>
        <v>97</v>
      </c>
      <c r="R48" s="1">
        <f>100-L48</f>
        <v>100</v>
      </c>
      <c r="S48" s="3">
        <f>(M48/(M48+N48))*100</f>
        <v>95.876288659793815</v>
      </c>
    </row>
    <row r="49" spans="1:19" x14ac:dyDescent="0.3">
      <c r="A49" s="5">
        <v>38</v>
      </c>
      <c r="B49" s="1" t="s">
        <v>20</v>
      </c>
      <c r="C49" s="1" t="s">
        <v>26</v>
      </c>
      <c r="D49" s="1" t="s">
        <v>26</v>
      </c>
      <c r="E49" s="1">
        <v>1</v>
      </c>
      <c r="F49" s="1" t="s">
        <v>22</v>
      </c>
      <c r="G49" s="1">
        <v>1</v>
      </c>
      <c r="H49" s="1">
        <v>8</v>
      </c>
      <c r="I49" s="1">
        <v>24</v>
      </c>
      <c r="J49" s="1" t="s">
        <v>29</v>
      </c>
      <c r="K49" s="1" t="s">
        <v>8</v>
      </c>
      <c r="L49" s="1">
        <v>0</v>
      </c>
      <c r="M49" s="1">
        <v>88</v>
      </c>
      <c r="N49" s="1">
        <v>4</v>
      </c>
      <c r="O49" s="1">
        <v>0</v>
      </c>
      <c r="P49" s="1">
        <v>0</v>
      </c>
      <c r="Q49" s="1">
        <f>L49+M49+N49+O49+P49</f>
        <v>92</v>
      </c>
      <c r="R49" s="1">
        <f>100-L49</f>
        <v>100</v>
      </c>
      <c r="S49" s="3">
        <f>(M49/(M49+N49))*100</f>
        <v>95.652173913043484</v>
      </c>
    </row>
    <row r="50" spans="1:19" x14ac:dyDescent="0.3">
      <c r="A50" s="5">
        <v>39</v>
      </c>
      <c r="B50" s="1" t="s">
        <v>20</v>
      </c>
      <c r="C50" s="1" t="s">
        <v>26</v>
      </c>
      <c r="D50" s="1" t="s">
        <v>26</v>
      </c>
      <c r="E50" s="1">
        <v>1</v>
      </c>
      <c r="F50" s="1" t="s">
        <v>22</v>
      </c>
      <c r="G50" s="1">
        <v>1</v>
      </c>
      <c r="H50" s="1">
        <v>10</v>
      </c>
      <c r="I50" s="1">
        <v>24</v>
      </c>
      <c r="J50" s="1" t="s">
        <v>29</v>
      </c>
      <c r="K50" s="1" t="s">
        <v>8</v>
      </c>
      <c r="L50" s="1">
        <v>0</v>
      </c>
      <c r="M50" s="1">
        <v>90</v>
      </c>
      <c r="N50" s="1">
        <v>5</v>
      </c>
      <c r="O50" s="1">
        <v>0</v>
      </c>
      <c r="P50" s="1">
        <v>0</v>
      </c>
      <c r="Q50" s="1">
        <f>L50+M50+N50+O50+P50</f>
        <v>95</v>
      </c>
      <c r="R50" s="1">
        <f>100-L50</f>
        <v>100</v>
      </c>
      <c r="S50" s="3">
        <f>(M50/(M50+N50))*100</f>
        <v>94.73684210526315</v>
      </c>
    </row>
    <row r="51" spans="1:19" x14ac:dyDescent="0.3">
      <c r="A51" s="5">
        <v>40</v>
      </c>
      <c r="B51" s="1" t="s">
        <v>20</v>
      </c>
      <c r="C51" s="1" t="s">
        <v>21</v>
      </c>
      <c r="D51" s="5">
        <v>20</v>
      </c>
      <c r="E51" s="1">
        <v>0.5</v>
      </c>
      <c r="F51" s="1" t="s">
        <v>22</v>
      </c>
      <c r="G51" s="1">
        <v>3</v>
      </c>
      <c r="H51" s="1">
        <v>17</v>
      </c>
      <c r="I51" s="1">
        <v>43</v>
      </c>
      <c r="J51" s="1" t="s">
        <v>23</v>
      </c>
      <c r="K51" s="1" t="s">
        <v>24</v>
      </c>
      <c r="L51" s="1">
        <v>0</v>
      </c>
      <c r="M51" s="1">
        <v>84</v>
      </c>
      <c r="N51" s="1">
        <v>8</v>
      </c>
      <c r="O51" s="1">
        <v>0</v>
      </c>
      <c r="P51" s="1">
        <v>3</v>
      </c>
      <c r="Q51" s="1">
        <f>L51+M51+N51+O51+P51</f>
        <v>95</v>
      </c>
      <c r="R51" s="1">
        <f>100-L51</f>
        <v>100</v>
      </c>
      <c r="S51" s="3">
        <f>(M51/(M51+N51))*100</f>
        <v>91.304347826086953</v>
      </c>
    </row>
    <row r="52" spans="1:19" x14ac:dyDescent="0.3">
      <c r="A52" s="5">
        <v>41</v>
      </c>
      <c r="B52" s="1" t="s">
        <v>20</v>
      </c>
      <c r="C52" s="1" t="s">
        <v>25</v>
      </c>
      <c r="D52" s="1">
        <v>20</v>
      </c>
      <c r="E52" s="1">
        <v>1</v>
      </c>
      <c r="F52" s="1" t="s">
        <v>22</v>
      </c>
      <c r="G52" s="1">
        <v>3</v>
      </c>
      <c r="H52" s="1">
        <v>16</v>
      </c>
      <c r="I52" s="1">
        <v>43</v>
      </c>
      <c r="J52" s="1" t="s">
        <v>23</v>
      </c>
      <c r="K52" s="1" t="s">
        <v>24</v>
      </c>
      <c r="L52" s="1">
        <v>0</v>
      </c>
      <c r="M52" s="1">
        <v>70</v>
      </c>
      <c r="N52" s="1">
        <v>12</v>
      </c>
      <c r="O52" s="1">
        <v>0</v>
      </c>
      <c r="P52" s="1">
        <v>0</v>
      </c>
      <c r="Q52" s="1">
        <f>L52+M52+N52+O52+P52</f>
        <v>82</v>
      </c>
      <c r="R52" s="1">
        <f>100-L52</f>
        <v>100</v>
      </c>
      <c r="S52" s="3">
        <f>(M52/(M52+N52))*100</f>
        <v>85.365853658536579</v>
      </c>
    </row>
    <row r="53" spans="1:19" x14ac:dyDescent="0.3">
      <c r="A53" s="5">
        <v>42</v>
      </c>
      <c r="B53" s="1" t="s">
        <v>20</v>
      </c>
      <c r="C53" s="1" t="s">
        <v>25</v>
      </c>
      <c r="D53" s="2">
        <v>20</v>
      </c>
      <c r="E53" s="1">
        <v>0.5</v>
      </c>
      <c r="F53" s="1" t="s">
        <v>22</v>
      </c>
      <c r="G53" s="1">
        <v>3</v>
      </c>
      <c r="H53" s="1">
        <v>16</v>
      </c>
      <c r="I53" s="1">
        <v>43</v>
      </c>
      <c r="J53" s="1" t="s">
        <v>23</v>
      </c>
      <c r="K53" s="1" t="s">
        <v>24</v>
      </c>
      <c r="L53" s="1">
        <v>0</v>
      </c>
      <c r="M53" s="1">
        <v>63</v>
      </c>
      <c r="N53" s="1">
        <v>16</v>
      </c>
      <c r="O53" s="1">
        <v>0</v>
      </c>
      <c r="P53" s="1">
        <v>0</v>
      </c>
      <c r="Q53" s="1">
        <f>L53+M53+N53+O53+P53</f>
        <v>79</v>
      </c>
      <c r="R53" s="1">
        <f>100-L53</f>
        <v>100</v>
      </c>
      <c r="S53" s="3">
        <f>(M53/(M53+N53))*100</f>
        <v>79.74683544303798</v>
      </c>
    </row>
    <row r="54" spans="1:1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3"/>
    </row>
    <row r="55" spans="1:1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3"/>
    </row>
    <row r="56" spans="1:1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3"/>
    </row>
    <row r="57" spans="1:1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3"/>
    </row>
    <row r="58" spans="1:1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3"/>
    </row>
    <row r="59" spans="1:1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3"/>
    </row>
    <row r="60" spans="1:1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3"/>
    </row>
    <row r="61" spans="1:1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3"/>
    </row>
    <row r="62" spans="1:1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3"/>
    </row>
    <row r="63" spans="1:1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3"/>
    </row>
    <row r="64" spans="1:1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3"/>
    </row>
    <row r="65" spans="1:1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3"/>
    </row>
    <row r="66" spans="1:1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</row>
    <row r="67" spans="1:1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3"/>
    </row>
    <row r="68" spans="1:1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3"/>
    </row>
    <row r="69" spans="1:1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3"/>
    </row>
    <row r="70" spans="1:1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3"/>
    </row>
    <row r="71" spans="1:1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3"/>
    </row>
    <row r="72" spans="1:1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3"/>
    </row>
    <row r="73" spans="1:1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3"/>
    </row>
    <row r="74" spans="1:1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3"/>
    </row>
    <row r="75" spans="1:1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3"/>
    </row>
    <row r="76" spans="1:1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3"/>
    </row>
    <row r="77" spans="1:1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3"/>
    </row>
    <row r="78" spans="1:1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3"/>
    </row>
    <row r="79" spans="1:1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3"/>
    </row>
    <row r="80" spans="1:1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3"/>
    </row>
    <row r="81" spans="1:1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3"/>
    </row>
    <row r="82" spans="1:1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3"/>
    </row>
    <row r="83" spans="1:1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3"/>
    </row>
    <row r="84" spans="1:1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3"/>
    </row>
    <row r="85" spans="1:1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3"/>
    </row>
    <row r="86" spans="1:1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3"/>
    </row>
    <row r="87" spans="1:1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3"/>
    </row>
    <row r="88" spans="1:1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3"/>
    </row>
    <row r="89" spans="1:1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3"/>
    </row>
    <row r="90" spans="1:1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3"/>
    </row>
    <row r="91" spans="1:1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3"/>
    </row>
    <row r="92" spans="1:1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3"/>
    </row>
    <row r="93" spans="1:1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3"/>
    </row>
    <row r="94" spans="1:1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3"/>
    </row>
    <row r="95" spans="1:1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3"/>
    </row>
    <row r="96" spans="1:1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3"/>
    </row>
    <row r="97" spans="1:1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3"/>
    </row>
    <row r="98" spans="1:1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"/>
    </row>
    <row r="99" spans="1:1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3"/>
    </row>
    <row r="100" spans="1:1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"/>
    </row>
    <row r="101" spans="1:19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3"/>
    </row>
    <row r="102" spans="1:19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3"/>
    </row>
    <row r="103" spans="1:19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3"/>
    </row>
    <row r="104" spans="1:1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3"/>
    </row>
    <row r="105" spans="1:1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"/>
    </row>
    <row r="106" spans="1:1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"/>
    </row>
    <row r="107" spans="1:1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3"/>
    </row>
    <row r="108" spans="1:19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3"/>
    </row>
    <row r="109" spans="1:19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3"/>
    </row>
    <row r="110" spans="1:19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3"/>
    </row>
    <row r="111" spans="1:19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3"/>
    </row>
    <row r="112" spans="1:19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3"/>
    </row>
    <row r="113" spans="1:19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3"/>
    </row>
  </sheetData>
  <autoFilter ref="B11:S11" xr:uid="{9F3711B0-DACF-4C52-8AB9-E03011EBC44B}">
    <sortState xmlns:xlrd2="http://schemas.microsoft.com/office/spreadsheetml/2017/richdata2" ref="B12:S53">
      <sortCondition descending="1" ref="B11"/>
    </sortState>
  </autoFilter>
  <mergeCells count="1">
    <mergeCell ref="B2:G9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utoPict="0" r:id="rId4">
            <anchor moveWithCells="1">
              <from>
                <xdr:col>1</xdr:col>
                <xdr:colOff>933450</xdr:colOff>
                <xdr:row>2</xdr:row>
                <xdr:rowOff>0</xdr:rowOff>
              </from>
              <to>
                <xdr:col>6</xdr:col>
                <xdr:colOff>647700</xdr:colOff>
                <xdr:row>8</xdr:row>
                <xdr:rowOff>0</xdr:rowOff>
              </to>
            </anchor>
          </objectPr>
        </oleObject>
      </mc:Choice>
      <mc:Fallback>
        <oleObject progId="ChemDraw.Document.6.0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조준영</dc:creator>
  <cp:lastModifiedBy>조준영</cp:lastModifiedBy>
  <dcterms:created xsi:type="dcterms:W3CDTF">2026-09-07T11:30:47Z</dcterms:created>
  <dcterms:modified xsi:type="dcterms:W3CDTF">2026-09-29T12:20:58Z</dcterms:modified>
</cp:coreProperties>
</file>