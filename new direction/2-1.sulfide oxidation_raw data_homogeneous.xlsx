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패밀리룸\촉매반응연구실\1.논문\1.manuscript\2026\[Advanced Science] selective oxidation of sulfide\KRICT\"/>
    </mc:Choice>
  </mc:AlternateContent>
  <xr:revisionPtr revIDLastSave="0" documentId="13_ncr:1_{19846660-CA09-460C-8F10-2449283EF16E}" xr6:coauthVersionLast="47" xr6:coauthVersionMax="47" xr10:uidLastSave="{00000000-0000-0000-0000-000000000000}"/>
  <bookViews>
    <workbookView xWindow="-120" yWindow="-120" windowWidth="29040" windowHeight="15720" xr2:uid="{4272D451-4382-4B3B-B06D-FB2485757DA8}"/>
  </bookViews>
  <sheets>
    <sheet name="Sheet1" sheetId="1" r:id="rId1"/>
  </sheets>
  <definedNames>
    <definedName name="_xlnm._FilterDatabase" localSheetId="0" hidden="1">Sheet1!$B$11:$S$11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27" i="1" l="1"/>
  <c r="S127" i="1"/>
  <c r="R127" i="1"/>
  <c r="Q126" i="1"/>
  <c r="S126" i="1"/>
  <c r="R126" i="1"/>
  <c r="Q125" i="1"/>
  <c r="S125" i="1"/>
  <c r="R125" i="1"/>
  <c r="Q124" i="1"/>
  <c r="S124" i="1"/>
  <c r="R124" i="1"/>
  <c r="Q123" i="1"/>
  <c r="S123" i="1"/>
  <c r="R123" i="1"/>
  <c r="R120" i="1"/>
  <c r="R115" i="1"/>
  <c r="R69" i="1"/>
  <c r="R66" i="1"/>
  <c r="R14" i="1"/>
  <c r="R20" i="1"/>
  <c r="R36" i="1"/>
  <c r="R55" i="1"/>
  <c r="R59" i="1"/>
  <c r="R35" i="1"/>
  <c r="R18" i="1"/>
  <c r="R17" i="1"/>
  <c r="R85" i="1"/>
  <c r="R86" i="1"/>
  <c r="R63" i="1"/>
  <c r="R90" i="1"/>
  <c r="R37" i="1"/>
  <c r="R72" i="1"/>
  <c r="R97" i="1"/>
  <c r="R56" i="1"/>
  <c r="R119" i="1"/>
  <c r="R57" i="1"/>
  <c r="R74" i="1"/>
  <c r="R70" i="1"/>
  <c r="R21" i="1"/>
  <c r="R15" i="1"/>
  <c r="R41" i="1"/>
  <c r="R19" i="1"/>
  <c r="R22" i="1"/>
  <c r="R77" i="1"/>
  <c r="R28" i="1"/>
  <c r="R42" i="1"/>
  <c r="R116" i="1"/>
  <c r="R45" i="1"/>
  <c r="R40" i="1"/>
  <c r="R29" i="1"/>
  <c r="R67" i="1"/>
  <c r="R13" i="1"/>
  <c r="R100" i="1"/>
  <c r="R101" i="1"/>
  <c r="R75" i="1"/>
  <c r="R78" i="1"/>
  <c r="R93" i="1"/>
  <c r="R94" i="1"/>
  <c r="R104" i="1"/>
  <c r="R102" i="1"/>
  <c r="R81" i="1"/>
  <c r="R107" i="1"/>
  <c r="R114" i="1"/>
  <c r="R50" i="1"/>
  <c r="R51" i="1"/>
  <c r="R12" i="1"/>
  <c r="R23" i="1"/>
  <c r="R38" i="1"/>
  <c r="R24" i="1"/>
  <c r="R52" i="1"/>
  <c r="R53" i="1"/>
  <c r="R118" i="1"/>
  <c r="R31" i="1"/>
  <c r="R117" i="1"/>
  <c r="R48" i="1"/>
  <c r="R105" i="1"/>
  <c r="R68" i="1"/>
  <c r="R91" i="1"/>
  <c r="R92" i="1"/>
  <c r="R88" i="1"/>
  <c r="R82" i="1"/>
  <c r="R30" i="1"/>
  <c r="R95" i="1"/>
  <c r="R98" i="1"/>
  <c r="R108" i="1"/>
  <c r="R79" i="1"/>
  <c r="R49" i="1"/>
  <c r="R32" i="1"/>
  <c r="R84" i="1"/>
  <c r="R96" i="1"/>
  <c r="R106" i="1"/>
  <c r="R76" i="1"/>
  <c r="R109" i="1"/>
  <c r="R73" i="1"/>
  <c r="R112" i="1"/>
  <c r="R61" i="1"/>
  <c r="R64" i="1"/>
  <c r="R71" i="1"/>
  <c r="R87" i="1"/>
  <c r="R80" i="1"/>
  <c r="R58" i="1"/>
  <c r="R62" i="1"/>
  <c r="R65" i="1"/>
  <c r="R103" i="1"/>
  <c r="R99" i="1"/>
  <c r="R121" i="1"/>
  <c r="R110" i="1"/>
  <c r="R43" i="1"/>
  <c r="R60" i="1"/>
  <c r="R89" i="1"/>
  <c r="R111" i="1"/>
  <c r="R26" i="1"/>
  <c r="R33" i="1"/>
  <c r="R34" i="1"/>
  <c r="R113" i="1"/>
  <c r="R47" i="1"/>
  <c r="R83" i="1"/>
  <c r="R46" i="1"/>
  <c r="R44" i="1"/>
  <c r="R39" i="1"/>
  <c r="R16" i="1"/>
  <c r="R27" i="1"/>
  <c r="R54" i="1"/>
  <c r="R25" i="1"/>
  <c r="R122" i="1"/>
  <c r="Q122" i="1"/>
  <c r="Q120" i="1"/>
  <c r="Q115" i="1"/>
  <c r="Q69" i="1"/>
  <c r="Q66" i="1"/>
  <c r="Q14" i="1"/>
  <c r="Q20" i="1"/>
  <c r="Q36" i="1"/>
  <c r="Q55" i="1"/>
  <c r="Q59" i="1"/>
  <c r="Q35" i="1"/>
  <c r="Q18" i="1"/>
  <c r="Q17" i="1"/>
  <c r="Q85" i="1"/>
  <c r="Q86" i="1"/>
  <c r="Q63" i="1"/>
  <c r="Q90" i="1"/>
  <c r="Q37" i="1"/>
  <c r="Q72" i="1"/>
  <c r="Q97" i="1"/>
  <c r="Q56" i="1"/>
  <c r="Q119" i="1"/>
  <c r="Q57" i="1"/>
  <c r="Q74" i="1"/>
  <c r="Q70" i="1"/>
  <c r="Q21" i="1"/>
  <c r="Q15" i="1"/>
  <c r="Q41" i="1"/>
  <c r="Q19" i="1"/>
  <c r="Q22" i="1"/>
  <c r="Q77" i="1"/>
  <c r="Q28" i="1"/>
  <c r="Q42" i="1"/>
  <c r="Q116" i="1"/>
  <c r="Q45" i="1"/>
  <c r="Q40" i="1"/>
  <c r="Q29" i="1"/>
  <c r="Q67" i="1"/>
  <c r="Q13" i="1"/>
  <c r="Q100" i="1"/>
  <c r="Q101" i="1"/>
  <c r="Q75" i="1"/>
  <c r="Q78" i="1"/>
  <c r="Q93" i="1"/>
  <c r="Q94" i="1"/>
  <c r="Q104" i="1"/>
  <c r="Q102" i="1"/>
  <c r="Q81" i="1"/>
  <c r="Q107" i="1"/>
  <c r="Q114" i="1"/>
  <c r="Q50" i="1"/>
  <c r="Q51" i="1"/>
  <c r="Q12" i="1"/>
  <c r="Q23" i="1"/>
  <c r="Q38" i="1"/>
  <c r="Q24" i="1"/>
  <c r="Q52" i="1"/>
  <c r="Q53" i="1"/>
  <c r="Q118" i="1"/>
  <c r="Q31" i="1"/>
  <c r="Q117" i="1"/>
  <c r="Q48" i="1"/>
  <c r="Q105" i="1"/>
  <c r="Q68" i="1"/>
  <c r="Q91" i="1"/>
  <c r="Q92" i="1"/>
  <c r="Q88" i="1"/>
  <c r="Q82" i="1"/>
  <c r="Q30" i="1"/>
  <c r="Q95" i="1"/>
  <c r="Q98" i="1"/>
  <c r="Q108" i="1"/>
  <c r="Q79" i="1"/>
  <c r="Q49" i="1"/>
  <c r="Q32" i="1"/>
  <c r="Q84" i="1"/>
  <c r="Q96" i="1"/>
  <c r="Q106" i="1"/>
  <c r="Q76" i="1"/>
  <c r="Q109" i="1"/>
  <c r="Q73" i="1"/>
  <c r="Q112" i="1"/>
  <c r="Q61" i="1"/>
  <c r="Q64" i="1"/>
  <c r="Q71" i="1"/>
  <c r="Q87" i="1"/>
  <c r="Q80" i="1"/>
  <c r="Q58" i="1"/>
  <c r="Q62" i="1"/>
  <c r="Q65" i="1"/>
  <c r="Q103" i="1"/>
  <c r="Q99" i="1"/>
  <c r="Q121" i="1"/>
  <c r="Q110" i="1"/>
  <c r="Q43" i="1"/>
  <c r="Q60" i="1"/>
  <c r="Q89" i="1"/>
  <c r="Q111" i="1"/>
  <c r="Q26" i="1"/>
  <c r="Q33" i="1"/>
  <c r="Q34" i="1"/>
  <c r="Q113" i="1"/>
  <c r="Q47" i="1"/>
  <c r="Q83" i="1"/>
  <c r="Q46" i="1"/>
  <c r="Q44" i="1"/>
  <c r="Q39" i="1"/>
  <c r="Q16" i="1"/>
  <c r="Q27" i="1"/>
  <c r="Q54" i="1"/>
  <c r="Q25" i="1"/>
  <c r="S120" i="1"/>
  <c r="S115" i="1"/>
  <c r="S69" i="1"/>
  <c r="S66" i="1"/>
  <c r="S14" i="1"/>
  <c r="S20" i="1"/>
  <c r="S36" i="1"/>
  <c r="S55" i="1"/>
  <c r="S59" i="1"/>
  <c r="S35" i="1"/>
  <c r="S18" i="1"/>
  <c r="S17" i="1"/>
  <c r="S85" i="1"/>
  <c r="S86" i="1"/>
  <c r="S63" i="1"/>
  <c r="S90" i="1"/>
  <c r="S37" i="1"/>
  <c r="S72" i="1"/>
  <c r="S97" i="1"/>
  <c r="S56" i="1"/>
  <c r="S119" i="1"/>
  <c r="S57" i="1"/>
  <c r="S74" i="1"/>
  <c r="S70" i="1"/>
  <c r="S21" i="1"/>
  <c r="S15" i="1"/>
  <c r="S41" i="1"/>
  <c r="S19" i="1"/>
  <c r="S22" i="1"/>
  <c r="S77" i="1"/>
  <c r="S28" i="1"/>
  <c r="S42" i="1"/>
  <c r="S116" i="1"/>
  <c r="S45" i="1"/>
  <c r="S40" i="1"/>
  <c r="S29" i="1"/>
  <c r="S67" i="1"/>
  <c r="S13" i="1"/>
  <c r="S100" i="1"/>
  <c r="S101" i="1"/>
  <c r="S75" i="1"/>
  <c r="S78" i="1"/>
  <c r="S93" i="1"/>
  <c r="S94" i="1"/>
  <c r="S104" i="1"/>
  <c r="S102" i="1"/>
  <c r="S81" i="1"/>
  <c r="S107" i="1"/>
  <c r="S114" i="1"/>
  <c r="S50" i="1"/>
  <c r="S51" i="1"/>
  <c r="S12" i="1"/>
  <c r="S23" i="1"/>
  <c r="S38" i="1"/>
  <c r="S24" i="1"/>
  <c r="S52" i="1"/>
  <c r="S53" i="1"/>
  <c r="S118" i="1"/>
  <c r="S31" i="1"/>
  <c r="S117" i="1"/>
  <c r="S48" i="1"/>
  <c r="S105" i="1"/>
  <c r="S68" i="1"/>
  <c r="S91" i="1"/>
  <c r="S92" i="1"/>
  <c r="S88" i="1"/>
  <c r="S82" i="1"/>
  <c r="S30" i="1"/>
  <c r="S95" i="1"/>
  <c r="S98" i="1"/>
  <c r="S108" i="1"/>
  <c r="S79" i="1"/>
  <c r="S49" i="1"/>
  <c r="S32" i="1"/>
  <c r="S84" i="1"/>
  <c r="S96" i="1"/>
  <c r="S106" i="1"/>
  <c r="S76" i="1"/>
  <c r="S109" i="1"/>
  <c r="S73" i="1"/>
  <c r="S112" i="1"/>
  <c r="S61" i="1"/>
  <c r="S64" i="1"/>
  <c r="S71" i="1"/>
  <c r="S87" i="1"/>
  <c r="S80" i="1"/>
  <c r="S58" i="1"/>
  <c r="S62" i="1"/>
  <c r="S65" i="1"/>
  <c r="S103" i="1"/>
  <c r="S99" i="1"/>
  <c r="S121" i="1"/>
  <c r="S110" i="1"/>
  <c r="S43" i="1"/>
  <c r="S60" i="1"/>
  <c r="S89" i="1"/>
  <c r="S111" i="1"/>
  <c r="S26" i="1"/>
  <c r="S33" i="1"/>
  <c r="S34" i="1"/>
  <c r="S113" i="1"/>
  <c r="S47" i="1"/>
  <c r="S83" i="1"/>
  <c r="S46" i="1"/>
  <c r="S44" i="1"/>
  <c r="S39" i="1"/>
  <c r="S16" i="1"/>
  <c r="S27" i="1"/>
  <c r="S54" i="1"/>
  <c r="S25" i="1"/>
  <c r="S122" i="1"/>
</calcChain>
</file>

<file path=xl/sharedStrings.xml><?xml version="1.0" encoding="utf-8"?>
<sst xmlns="http://schemas.openxmlformats.org/spreadsheetml/2006/main" count="658" uniqueCount="44">
  <si>
    <t>Entry</t>
    <phoneticPr fontId="1" type="noConversion"/>
  </si>
  <si>
    <t>solvent 1</t>
    <phoneticPr fontId="1" type="noConversion"/>
  </si>
  <si>
    <t>solvent 2</t>
    <phoneticPr fontId="1" type="noConversion"/>
  </si>
  <si>
    <t>concentration (M)</t>
    <phoneticPr fontId="1" type="noConversion"/>
  </si>
  <si>
    <t>time (h)</t>
    <phoneticPr fontId="1" type="noConversion"/>
  </si>
  <si>
    <t>temperature (℃)</t>
    <phoneticPr fontId="1" type="noConversion"/>
  </si>
  <si>
    <t xml:space="preserve">oxidant </t>
    <phoneticPr fontId="1" type="noConversion"/>
  </si>
  <si>
    <t>light source</t>
    <phoneticPr fontId="1" type="noConversion"/>
  </si>
  <si>
    <t>10 W blue LEDs</t>
  </si>
  <si>
    <t>10 W blue LEDs</t>
    <phoneticPr fontId="1" type="noConversion"/>
  </si>
  <si>
    <t>yield 1 (%)</t>
    <phoneticPr fontId="1" type="noConversion"/>
  </si>
  <si>
    <t>yield 2 (%)</t>
    <phoneticPr fontId="1" type="noConversion"/>
  </si>
  <si>
    <t>yield 3 (%)</t>
    <phoneticPr fontId="1" type="noConversion"/>
  </si>
  <si>
    <t>side (%)</t>
    <phoneticPr fontId="1" type="noConversion"/>
  </si>
  <si>
    <t>unknown (%)</t>
    <phoneticPr fontId="1" type="noConversion"/>
  </si>
  <si>
    <t>mass balance</t>
    <phoneticPr fontId="1" type="noConversion"/>
  </si>
  <si>
    <t>MEK</t>
    <phoneticPr fontId="1" type="noConversion"/>
  </si>
  <si>
    <t>-</t>
    <phoneticPr fontId="1" type="noConversion"/>
  </si>
  <si>
    <t>type of photocatalyst</t>
    <phoneticPr fontId="1" type="noConversion"/>
  </si>
  <si>
    <t>catalyst loading (mol%)</t>
    <phoneticPr fontId="1" type="noConversion"/>
  </si>
  <si>
    <t>acridine</t>
    <phoneticPr fontId="1" type="noConversion"/>
  </si>
  <si>
    <t>oxygen</t>
    <phoneticPr fontId="1" type="noConversion"/>
  </si>
  <si>
    <t xml:space="preserve">solvent ratio (% of solvent 1) </t>
    <phoneticPr fontId="1" type="noConversion"/>
  </si>
  <si>
    <t>acetone</t>
    <phoneticPr fontId="1" type="noConversion"/>
  </si>
  <si>
    <t>water</t>
    <phoneticPr fontId="1" type="noConversion"/>
  </si>
  <si>
    <t>IPA</t>
    <phoneticPr fontId="1" type="noConversion"/>
  </si>
  <si>
    <t>EtOH</t>
    <phoneticPr fontId="1" type="noConversion"/>
  </si>
  <si>
    <t>air</t>
    <phoneticPr fontId="1" type="noConversion"/>
  </si>
  <si>
    <t>pH 4 buffer</t>
    <phoneticPr fontId="1" type="noConversion"/>
  </si>
  <si>
    <t>pH 10 buffer</t>
    <phoneticPr fontId="1" type="noConversion"/>
  </si>
  <si>
    <t>EA</t>
    <phoneticPr fontId="1" type="noConversion"/>
  </si>
  <si>
    <t>s-BuOH</t>
    <phoneticPr fontId="1" type="noConversion"/>
  </si>
  <si>
    <t>MeOH</t>
    <phoneticPr fontId="1" type="noConversion"/>
  </si>
  <si>
    <t>n-BuOH</t>
    <phoneticPr fontId="1" type="noConversion"/>
  </si>
  <si>
    <t>t-BuOH</t>
    <phoneticPr fontId="1" type="noConversion"/>
  </si>
  <si>
    <t>pH 9 buffer</t>
    <phoneticPr fontId="1" type="noConversion"/>
  </si>
  <si>
    <t>pH 8 buffer</t>
    <phoneticPr fontId="1" type="noConversion"/>
  </si>
  <si>
    <t>pH 6 buffer</t>
    <phoneticPr fontId="1" type="noConversion"/>
  </si>
  <si>
    <t>pH 5 buffer</t>
    <phoneticPr fontId="1" type="noConversion"/>
  </si>
  <si>
    <t>MeCN</t>
    <phoneticPr fontId="1" type="noConversion"/>
  </si>
  <si>
    <t>conversion (100 - yield 1)</t>
    <phoneticPr fontId="1" type="noConversion"/>
  </si>
  <si>
    <t>selectivity [{yield 2 / (yield 2 + yield 3)} x 100]</t>
    <phoneticPr fontId="1" type="noConversion"/>
  </si>
  <si>
    <t>10 W green LEDs</t>
    <phoneticPr fontId="1" type="noConversion"/>
  </si>
  <si>
    <t>10 W purple LEDs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</si>
</sst>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466725</xdr:colOff>
          <xdr:row>1</xdr:row>
          <xdr:rowOff>19050</xdr:rowOff>
        </xdr:from>
        <xdr:to>
          <xdr:col>8</xdr:col>
          <xdr:colOff>390525</xdr:colOff>
          <xdr:row>7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11B0-DACF-4C52-8AB9-E03011EBC44B}">
  <dimension ref="A2:S127"/>
  <sheetViews>
    <sheetView tabSelected="1" zoomScale="85" zoomScaleNormal="85" workbookViewId="0">
      <selection activeCell="B10" sqref="B10"/>
    </sheetView>
  </sheetViews>
  <sheetFormatPr defaultRowHeight="16.5" x14ac:dyDescent="0.3"/>
  <cols>
    <col min="1" max="1" width="5.75" bestFit="1" customWidth="1"/>
    <col min="2" max="3" width="12.625" bestFit="1" customWidth="1"/>
    <col min="4" max="4" width="28.625" bestFit="1" customWidth="1"/>
    <col min="5" max="5" width="17.625" bestFit="1" customWidth="1"/>
    <col min="6" max="6" width="20.5" bestFit="1" customWidth="1"/>
    <col min="7" max="7" width="22.875" bestFit="1" customWidth="1"/>
    <col min="8" max="8" width="8.25" bestFit="1" customWidth="1"/>
    <col min="9" max="9" width="16.125" bestFit="1" customWidth="1"/>
    <col min="10" max="10" width="8.5" bestFit="1" customWidth="1"/>
    <col min="11" max="11" width="15.375" bestFit="1" customWidth="1"/>
    <col min="12" max="14" width="10.625" bestFit="1" customWidth="1"/>
    <col min="15" max="15" width="8.375" bestFit="1" customWidth="1"/>
    <col min="16" max="16" width="13.375" bestFit="1" customWidth="1"/>
    <col min="17" max="17" width="13.125" bestFit="1" customWidth="1"/>
    <col min="18" max="18" width="18.25" customWidth="1"/>
    <col min="19" max="19" width="16" customWidth="1"/>
  </cols>
  <sheetData>
    <row r="2" spans="1:19" x14ac:dyDescent="0.3">
      <c r="C2" s="6"/>
      <c r="D2" s="6"/>
      <c r="E2" s="6"/>
      <c r="F2" s="6"/>
      <c r="G2" s="6"/>
      <c r="H2" s="6"/>
      <c r="I2" s="6"/>
      <c r="J2" s="6"/>
    </row>
    <row r="3" spans="1:19" x14ac:dyDescent="0.3">
      <c r="C3" s="6"/>
      <c r="D3" s="6"/>
      <c r="E3" s="6"/>
      <c r="F3" s="6"/>
      <c r="G3" s="6"/>
      <c r="H3" s="6"/>
      <c r="I3" s="6"/>
      <c r="J3" s="6"/>
    </row>
    <row r="4" spans="1:19" x14ac:dyDescent="0.3">
      <c r="C4" s="6"/>
      <c r="D4" s="6"/>
      <c r="E4" s="6"/>
      <c r="F4" s="6"/>
      <c r="G4" s="6"/>
      <c r="H4" s="6"/>
      <c r="I4" s="6"/>
      <c r="J4" s="6"/>
    </row>
    <row r="5" spans="1:19" x14ac:dyDescent="0.3">
      <c r="C5" s="6"/>
      <c r="D5" s="6"/>
      <c r="E5" s="6"/>
      <c r="F5" s="6"/>
      <c r="G5" s="6"/>
      <c r="H5" s="6"/>
      <c r="I5" s="6"/>
      <c r="J5" s="6"/>
    </row>
    <row r="6" spans="1:19" x14ac:dyDescent="0.3">
      <c r="C6" s="6"/>
      <c r="D6" s="6"/>
      <c r="E6" s="6"/>
      <c r="F6" s="6"/>
      <c r="G6" s="6"/>
      <c r="H6" s="6"/>
      <c r="I6" s="6"/>
      <c r="J6" s="6"/>
    </row>
    <row r="7" spans="1:19" x14ac:dyDescent="0.3">
      <c r="C7" s="6"/>
      <c r="D7" s="6"/>
      <c r="E7" s="6"/>
      <c r="F7" s="6"/>
      <c r="G7" s="6"/>
      <c r="H7" s="6"/>
      <c r="I7" s="6"/>
      <c r="J7" s="6"/>
    </row>
    <row r="8" spans="1:19" x14ac:dyDescent="0.3">
      <c r="C8" s="6"/>
      <c r="D8" s="6"/>
      <c r="E8" s="6"/>
      <c r="F8" s="6"/>
      <c r="G8" s="6"/>
      <c r="H8" s="6"/>
      <c r="I8" s="6"/>
      <c r="J8" s="6"/>
    </row>
    <row r="11" spans="1:19" ht="49.5" x14ac:dyDescent="0.3">
      <c r="A11" s="4" t="s">
        <v>0</v>
      </c>
      <c r="B11" s="4" t="s">
        <v>1</v>
      </c>
      <c r="C11" s="4" t="s">
        <v>2</v>
      </c>
      <c r="D11" s="4" t="s">
        <v>22</v>
      </c>
      <c r="E11" s="4" t="s">
        <v>3</v>
      </c>
      <c r="F11" s="4" t="s">
        <v>18</v>
      </c>
      <c r="G11" s="4" t="s">
        <v>19</v>
      </c>
      <c r="H11" s="4" t="s">
        <v>4</v>
      </c>
      <c r="I11" s="4" t="s">
        <v>5</v>
      </c>
      <c r="J11" s="4" t="s">
        <v>6</v>
      </c>
      <c r="K11" s="4" t="s">
        <v>7</v>
      </c>
      <c r="L11" s="4" t="s">
        <v>10</v>
      </c>
      <c r="M11" s="4" t="s">
        <v>11</v>
      </c>
      <c r="N11" s="4" t="s">
        <v>12</v>
      </c>
      <c r="O11" s="4" t="s">
        <v>13</v>
      </c>
      <c r="P11" s="4" t="s">
        <v>14</v>
      </c>
      <c r="Q11" s="4" t="s">
        <v>15</v>
      </c>
      <c r="R11" s="4" t="s">
        <v>40</v>
      </c>
      <c r="S11" s="4" t="s">
        <v>41</v>
      </c>
    </row>
    <row r="12" spans="1:19" x14ac:dyDescent="0.3">
      <c r="A12" s="1">
        <v>1</v>
      </c>
      <c r="B12" s="1" t="s">
        <v>25</v>
      </c>
      <c r="C12" s="1" t="s">
        <v>17</v>
      </c>
      <c r="D12" s="1" t="s">
        <v>17</v>
      </c>
      <c r="E12" s="1">
        <v>0.5</v>
      </c>
      <c r="F12" s="1" t="s">
        <v>20</v>
      </c>
      <c r="G12" s="1">
        <v>3</v>
      </c>
      <c r="H12" s="1">
        <v>8</v>
      </c>
      <c r="I12" s="1">
        <v>24</v>
      </c>
      <c r="J12" s="1" t="s">
        <v>21</v>
      </c>
      <c r="K12" s="1" t="s">
        <v>8</v>
      </c>
      <c r="L12" s="1">
        <v>0</v>
      </c>
      <c r="M12" s="1">
        <v>99</v>
      </c>
      <c r="N12" s="1">
        <v>4</v>
      </c>
      <c r="O12" s="1">
        <v>0</v>
      </c>
      <c r="P12" s="1">
        <v>0</v>
      </c>
      <c r="Q12">
        <f t="shared" ref="Q12:Q43" si="0">L12+M12+N12+O12+P12</f>
        <v>103</v>
      </c>
      <c r="R12" s="1">
        <f t="shared" ref="R12:R43" si="1">100-L12</f>
        <v>100</v>
      </c>
      <c r="S12" s="3">
        <f t="shared" ref="S12:S43" si="2">(M12/(M12+N12))*100</f>
        <v>96.116504854368941</v>
      </c>
    </row>
    <row r="13" spans="1:19" x14ac:dyDescent="0.3">
      <c r="A13" s="1">
        <v>2</v>
      </c>
      <c r="B13" s="1" t="s">
        <v>26</v>
      </c>
      <c r="C13" s="1" t="s">
        <v>28</v>
      </c>
      <c r="D13" s="1">
        <v>50</v>
      </c>
      <c r="E13" s="1">
        <v>0.5</v>
      </c>
      <c r="F13" s="1" t="s">
        <v>20</v>
      </c>
      <c r="G13" s="1">
        <v>3</v>
      </c>
      <c r="H13" s="1">
        <v>16</v>
      </c>
      <c r="I13" s="1">
        <v>43</v>
      </c>
      <c r="J13" s="1" t="s">
        <v>21</v>
      </c>
      <c r="K13" s="1" t="s">
        <v>8</v>
      </c>
      <c r="L13" s="1">
        <v>0</v>
      </c>
      <c r="M13" s="1">
        <v>98</v>
      </c>
      <c r="N13" s="1">
        <v>2</v>
      </c>
      <c r="O13" s="1">
        <v>0</v>
      </c>
      <c r="P13" s="1">
        <v>0</v>
      </c>
      <c r="Q13">
        <f t="shared" si="0"/>
        <v>100</v>
      </c>
      <c r="R13" s="1">
        <f t="shared" si="1"/>
        <v>100</v>
      </c>
      <c r="S13" s="3">
        <f t="shared" si="2"/>
        <v>98</v>
      </c>
    </row>
    <row r="14" spans="1:19" x14ac:dyDescent="0.3">
      <c r="A14" s="1">
        <v>3</v>
      </c>
      <c r="B14" s="1" t="s">
        <v>25</v>
      </c>
      <c r="C14" s="1" t="s">
        <v>17</v>
      </c>
      <c r="D14" s="1" t="s">
        <v>17</v>
      </c>
      <c r="E14" s="1">
        <v>0.5</v>
      </c>
      <c r="F14" s="1" t="s">
        <v>20</v>
      </c>
      <c r="G14" s="1">
        <v>3</v>
      </c>
      <c r="H14" s="1">
        <v>17</v>
      </c>
      <c r="I14" s="1">
        <v>43</v>
      </c>
      <c r="J14" s="1" t="s">
        <v>21</v>
      </c>
      <c r="K14" s="1" t="s">
        <v>8</v>
      </c>
      <c r="L14" s="1">
        <v>0</v>
      </c>
      <c r="M14" s="1">
        <v>98</v>
      </c>
      <c r="N14" s="1">
        <v>7</v>
      </c>
      <c r="O14" s="1">
        <v>0</v>
      </c>
      <c r="P14" s="1">
        <v>3</v>
      </c>
      <c r="Q14">
        <f t="shared" si="0"/>
        <v>108</v>
      </c>
      <c r="R14" s="1">
        <f t="shared" si="1"/>
        <v>100</v>
      </c>
      <c r="S14" s="3">
        <f t="shared" si="2"/>
        <v>93.333333333333329</v>
      </c>
    </row>
    <row r="15" spans="1:19" x14ac:dyDescent="0.3">
      <c r="A15" s="1">
        <v>4</v>
      </c>
      <c r="B15" s="1" t="s">
        <v>26</v>
      </c>
      <c r="C15" s="1" t="s">
        <v>17</v>
      </c>
      <c r="D15" s="1" t="s">
        <v>17</v>
      </c>
      <c r="E15" s="1">
        <v>0.5</v>
      </c>
      <c r="F15" s="1" t="s">
        <v>20</v>
      </c>
      <c r="G15" s="1">
        <v>3</v>
      </c>
      <c r="H15" s="1">
        <v>8</v>
      </c>
      <c r="I15" s="1">
        <v>43</v>
      </c>
      <c r="J15" s="1" t="s">
        <v>21</v>
      </c>
      <c r="K15" s="1" t="s">
        <v>9</v>
      </c>
      <c r="L15" s="1">
        <v>0</v>
      </c>
      <c r="M15" s="1">
        <v>98</v>
      </c>
      <c r="N15" s="1">
        <v>0</v>
      </c>
      <c r="O15" s="1">
        <v>0</v>
      </c>
      <c r="P15" s="1">
        <v>0</v>
      </c>
      <c r="Q15">
        <f t="shared" si="0"/>
        <v>98</v>
      </c>
      <c r="R15" s="1">
        <f t="shared" si="1"/>
        <v>100</v>
      </c>
      <c r="S15" s="3">
        <f t="shared" si="2"/>
        <v>100</v>
      </c>
    </row>
    <row r="16" spans="1:19" x14ac:dyDescent="0.3">
      <c r="A16" s="1">
        <v>5</v>
      </c>
      <c r="B16" s="1" t="s">
        <v>26</v>
      </c>
      <c r="C16" s="1" t="s">
        <v>17</v>
      </c>
      <c r="D16" s="1" t="s">
        <v>17</v>
      </c>
      <c r="E16" s="1">
        <v>0.25</v>
      </c>
      <c r="F16" s="1" t="s">
        <v>20</v>
      </c>
      <c r="G16" s="1">
        <v>3</v>
      </c>
      <c r="H16" s="1">
        <v>10</v>
      </c>
      <c r="I16" s="1">
        <v>24</v>
      </c>
      <c r="J16" s="1" t="s">
        <v>27</v>
      </c>
      <c r="K16" s="1" t="s">
        <v>8</v>
      </c>
      <c r="L16" s="1">
        <v>0</v>
      </c>
      <c r="M16" s="1">
        <v>98</v>
      </c>
      <c r="N16" s="1">
        <v>1</v>
      </c>
      <c r="O16" s="1">
        <v>0</v>
      </c>
      <c r="P16" s="1">
        <v>0</v>
      </c>
      <c r="Q16">
        <f t="shared" si="0"/>
        <v>99</v>
      </c>
      <c r="R16" s="1">
        <f t="shared" si="1"/>
        <v>100</v>
      </c>
      <c r="S16" s="3">
        <f t="shared" si="2"/>
        <v>98.98989898989899</v>
      </c>
    </row>
    <row r="17" spans="1:19" x14ac:dyDescent="0.3">
      <c r="A17" s="1">
        <v>6</v>
      </c>
      <c r="B17" s="1" t="s">
        <v>26</v>
      </c>
      <c r="C17" s="1" t="s">
        <v>24</v>
      </c>
      <c r="D17" s="1">
        <v>80</v>
      </c>
      <c r="E17" s="1">
        <v>0.5</v>
      </c>
      <c r="F17" s="1" t="s">
        <v>20</v>
      </c>
      <c r="G17" s="1">
        <v>3</v>
      </c>
      <c r="H17" s="1">
        <v>17</v>
      </c>
      <c r="I17" s="1">
        <v>43</v>
      </c>
      <c r="J17" s="1" t="s">
        <v>21</v>
      </c>
      <c r="K17" s="1" t="s">
        <v>8</v>
      </c>
      <c r="L17" s="1">
        <v>0</v>
      </c>
      <c r="M17" s="1">
        <v>97</v>
      </c>
      <c r="N17" s="1">
        <v>3</v>
      </c>
      <c r="O17" s="1">
        <v>0</v>
      </c>
      <c r="P17" s="1">
        <v>0</v>
      </c>
      <c r="Q17">
        <f t="shared" si="0"/>
        <v>100</v>
      </c>
      <c r="R17" s="1">
        <f t="shared" si="1"/>
        <v>100</v>
      </c>
      <c r="S17" s="3">
        <f t="shared" si="2"/>
        <v>97</v>
      </c>
    </row>
    <row r="18" spans="1:19" x14ac:dyDescent="0.3">
      <c r="A18" s="1">
        <v>7</v>
      </c>
      <c r="B18" s="1" t="s">
        <v>26</v>
      </c>
      <c r="C18" s="1" t="s">
        <v>24</v>
      </c>
      <c r="D18" s="1">
        <v>60</v>
      </c>
      <c r="E18" s="1">
        <v>0.5</v>
      </c>
      <c r="F18" s="1" t="s">
        <v>20</v>
      </c>
      <c r="G18" s="1">
        <v>3</v>
      </c>
      <c r="H18" s="1">
        <v>17</v>
      </c>
      <c r="I18" s="1">
        <v>43</v>
      </c>
      <c r="J18" s="1" t="s">
        <v>21</v>
      </c>
      <c r="K18" s="1" t="s">
        <v>8</v>
      </c>
      <c r="L18" s="1">
        <v>0</v>
      </c>
      <c r="M18" s="1">
        <v>97</v>
      </c>
      <c r="N18" s="1">
        <v>3</v>
      </c>
      <c r="O18" s="1">
        <v>0</v>
      </c>
      <c r="P18" s="1">
        <v>0</v>
      </c>
      <c r="Q18">
        <f t="shared" si="0"/>
        <v>100</v>
      </c>
      <c r="R18" s="1">
        <f t="shared" si="1"/>
        <v>100</v>
      </c>
      <c r="S18" s="3">
        <f t="shared" si="2"/>
        <v>97</v>
      </c>
    </row>
    <row r="19" spans="1:19" x14ac:dyDescent="0.3">
      <c r="A19" s="1">
        <v>8</v>
      </c>
      <c r="B19" s="1" t="s">
        <v>26</v>
      </c>
      <c r="C19" s="1" t="s">
        <v>24</v>
      </c>
      <c r="D19" s="1">
        <v>50</v>
      </c>
      <c r="E19" s="1">
        <v>0.5</v>
      </c>
      <c r="F19" s="1" t="s">
        <v>20</v>
      </c>
      <c r="G19" s="1">
        <v>3</v>
      </c>
      <c r="H19" s="1">
        <v>8</v>
      </c>
      <c r="I19" s="1">
        <v>24</v>
      </c>
      <c r="J19" s="1" t="s">
        <v>27</v>
      </c>
      <c r="K19" s="1" t="s">
        <v>9</v>
      </c>
      <c r="L19" s="1">
        <v>0</v>
      </c>
      <c r="M19" s="1">
        <v>97</v>
      </c>
      <c r="N19" s="1">
        <v>0</v>
      </c>
      <c r="O19" s="1">
        <v>0</v>
      </c>
      <c r="P19" s="1">
        <v>0</v>
      </c>
      <c r="Q19">
        <f t="shared" si="0"/>
        <v>97</v>
      </c>
      <c r="R19" s="1">
        <f t="shared" si="1"/>
        <v>100</v>
      </c>
      <c r="S19" s="3">
        <f t="shared" si="2"/>
        <v>100</v>
      </c>
    </row>
    <row r="20" spans="1:19" x14ac:dyDescent="0.3">
      <c r="A20" s="1">
        <v>9</v>
      </c>
      <c r="B20" s="1" t="s">
        <v>26</v>
      </c>
      <c r="C20" s="1" t="s">
        <v>24</v>
      </c>
      <c r="D20" s="1" t="s">
        <v>17</v>
      </c>
      <c r="E20" s="1">
        <v>0.5</v>
      </c>
      <c r="F20" s="1" t="s">
        <v>20</v>
      </c>
      <c r="G20" s="1">
        <v>3</v>
      </c>
      <c r="H20" s="1">
        <v>17</v>
      </c>
      <c r="I20" s="1">
        <v>43</v>
      </c>
      <c r="J20" s="1" t="s">
        <v>21</v>
      </c>
      <c r="K20" s="1" t="s">
        <v>8</v>
      </c>
      <c r="L20" s="1">
        <v>0</v>
      </c>
      <c r="M20" s="1">
        <v>97</v>
      </c>
      <c r="N20" s="1">
        <v>3</v>
      </c>
      <c r="O20" s="1">
        <v>0</v>
      </c>
      <c r="P20" s="1">
        <v>0</v>
      </c>
      <c r="Q20">
        <f t="shared" si="0"/>
        <v>100</v>
      </c>
      <c r="R20" s="1">
        <f t="shared" si="1"/>
        <v>100</v>
      </c>
      <c r="S20" s="3">
        <f t="shared" si="2"/>
        <v>97</v>
      </c>
    </row>
    <row r="21" spans="1:19" x14ac:dyDescent="0.3">
      <c r="A21" s="1">
        <v>10</v>
      </c>
      <c r="B21" s="1" t="s">
        <v>25</v>
      </c>
      <c r="C21" s="1" t="s">
        <v>17</v>
      </c>
      <c r="D21" s="1" t="s">
        <v>17</v>
      </c>
      <c r="E21" s="1">
        <v>0.5</v>
      </c>
      <c r="F21" s="1" t="s">
        <v>20</v>
      </c>
      <c r="G21" s="1">
        <v>3</v>
      </c>
      <c r="H21" s="1">
        <v>8</v>
      </c>
      <c r="I21" s="1">
        <v>43</v>
      </c>
      <c r="J21" s="1" t="s">
        <v>21</v>
      </c>
      <c r="K21" s="1" t="s">
        <v>9</v>
      </c>
      <c r="L21" s="1">
        <v>0</v>
      </c>
      <c r="M21" s="1">
        <v>97</v>
      </c>
      <c r="N21" s="1">
        <v>3</v>
      </c>
      <c r="O21" s="1">
        <v>0</v>
      </c>
      <c r="P21" s="1">
        <v>0</v>
      </c>
      <c r="Q21">
        <f t="shared" si="0"/>
        <v>100</v>
      </c>
      <c r="R21" s="1">
        <f t="shared" si="1"/>
        <v>100</v>
      </c>
      <c r="S21" s="3">
        <f t="shared" si="2"/>
        <v>97</v>
      </c>
    </row>
    <row r="22" spans="1:19" x14ac:dyDescent="0.3">
      <c r="A22" s="1">
        <v>11</v>
      </c>
      <c r="B22" s="1" t="s">
        <v>26</v>
      </c>
      <c r="C22" s="1" t="s">
        <v>24</v>
      </c>
      <c r="D22" s="1">
        <v>50</v>
      </c>
      <c r="E22" s="1">
        <v>0.5</v>
      </c>
      <c r="F22" s="1" t="s">
        <v>20</v>
      </c>
      <c r="G22" s="1">
        <v>3</v>
      </c>
      <c r="H22" s="1">
        <v>8</v>
      </c>
      <c r="I22" s="1">
        <v>24</v>
      </c>
      <c r="J22" s="1" t="s">
        <v>21</v>
      </c>
      <c r="K22" s="1" t="s">
        <v>9</v>
      </c>
      <c r="L22" s="1">
        <v>0</v>
      </c>
      <c r="M22" s="1">
        <v>97</v>
      </c>
      <c r="N22" s="1">
        <v>0</v>
      </c>
      <c r="O22" s="1">
        <v>0</v>
      </c>
      <c r="P22" s="1">
        <v>0</v>
      </c>
      <c r="Q22">
        <f t="shared" si="0"/>
        <v>97</v>
      </c>
      <c r="R22" s="1">
        <f t="shared" si="1"/>
        <v>100</v>
      </c>
      <c r="S22" s="3">
        <f t="shared" si="2"/>
        <v>100</v>
      </c>
    </row>
    <row r="23" spans="1:19" x14ac:dyDescent="0.3">
      <c r="A23" s="1">
        <v>12</v>
      </c>
      <c r="B23" s="1" t="s">
        <v>33</v>
      </c>
      <c r="C23" s="1" t="s">
        <v>17</v>
      </c>
      <c r="D23" s="1" t="s">
        <v>17</v>
      </c>
      <c r="E23" s="1">
        <v>0.5</v>
      </c>
      <c r="F23" s="1" t="s">
        <v>20</v>
      </c>
      <c r="G23" s="1">
        <v>3</v>
      </c>
      <c r="H23" s="1">
        <v>8</v>
      </c>
      <c r="I23" s="1">
        <v>24</v>
      </c>
      <c r="J23" s="1" t="s">
        <v>21</v>
      </c>
      <c r="K23" s="1" t="s">
        <v>8</v>
      </c>
      <c r="L23" s="1">
        <v>0</v>
      </c>
      <c r="M23" s="1">
        <v>97</v>
      </c>
      <c r="N23" s="1">
        <v>3</v>
      </c>
      <c r="O23" s="1">
        <v>0</v>
      </c>
      <c r="P23" s="1">
        <v>0</v>
      </c>
      <c r="Q23">
        <f t="shared" si="0"/>
        <v>100</v>
      </c>
      <c r="R23" s="1">
        <f t="shared" si="1"/>
        <v>100</v>
      </c>
      <c r="S23" s="3">
        <f t="shared" si="2"/>
        <v>97</v>
      </c>
    </row>
    <row r="24" spans="1:19" x14ac:dyDescent="0.3">
      <c r="A24" s="1">
        <v>13</v>
      </c>
      <c r="B24" s="1" t="s">
        <v>34</v>
      </c>
      <c r="C24" s="1" t="s">
        <v>17</v>
      </c>
      <c r="D24" s="1" t="s">
        <v>17</v>
      </c>
      <c r="E24" s="1">
        <v>0.5</v>
      </c>
      <c r="F24" s="1" t="s">
        <v>20</v>
      </c>
      <c r="G24" s="1">
        <v>3</v>
      </c>
      <c r="H24" s="1">
        <v>8</v>
      </c>
      <c r="I24" s="1">
        <v>24</v>
      </c>
      <c r="J24" s="1" t="s">
        <v>21</v>
      </c>
      <c r="K24" s="1" t="s">
        <v>8</v>
      </c>
      <c r="L24" s="1">
        <v>0</v>
      </c>
      <c r="M24" s="1">
        <v>97</v>
      </c>
      <c r="N24" s="1">
        <v>4</v>
      </c>
      <c r="O24" s="1">
        <v>0</v>
      </c>
      <c r="P24" s="1">
        <v>0</v>
      </c>
      <c r="Q24">
        <f t="shared" si="0"/>
        <v>101</v>
      </c>
      <c r="R24" s="1">
        <f t="shared" si="1"/>
        <v>100</v>
      </c>
      <c r="S24" s="3">
        <f t="shared" si="2"/>
        <v>96.039603960396036</v>
      </c>
    </row>
    <row r="25" spans="1:19" x14ac:dyDescent="0.3">
      <c r="A25" s="1">
        <v>14</v>
      </c>
      <c r="B25" s="1" t="s">
        <v>26</v>
      </c>
      <c r="C25" s="1" t="s">
        <v>17</v>
      </c>
      <c r="D25" s="1" t="s">
        <v>17</v>
      </c>
      <c r="E25" s="1">
        <v>0.5</v>
      </c>
      <c r="F25" s="1" t="s">
        <v>20</v>
      </c>
      <c r="G25" s="1">
        <v>1</v>
      </c>
      <c r="H25" s="1">
        <v>10</v>
      </c>
      <c r="I25" s="1">
        <v>24</v>
      </c>
      <c r="J25" s="1" t="s">
        <v>27</v>
      </c>
      <c r="K25" s="1" t="s">
        <v>8</v>
      </c>
      <c r="L25" s="1">
        <v>20</v>
      </c>
      <c r="M25" s="1">
        <v>96</v>
      </c>
      <c r="N25" s="1">
        <v>1</v>
      </c>
      <c r="O25" s="1">
        <v>0</v>
      </c>
      <c r="P25" s="1">
        <v>0</v>
      </c>
      <c r="Q25">
        <f t="shared" si="0"/>
        <v>117</v>
      </c>
      <c r="R25" s="1">
        <f t="shared" si="1"/>
        <v>80</v>
      </c>
      <c r="S25" s="3">
        <f t="shared" si="2"/>
        <v>98.969072164948457</v>
      </c>
    </row>
    <row r="26" spans="1:19" x14ac:dyDescent="0.3">
      <c r="A26" s="1">
        <v>15</v>
      </c>
      <c r="B26" s="1" t="s">
        <v>32</v>
      </c>
      <c r="C26" s="1" t="s">
        <v>17</v>
      </c>
      <c r="D26" s="1" t="s">
        <v>17</v>
      </c>
      <c r="E26" s="1">
        <v>0.5</v>
      </c>
      <c r="F26" s="1" t="s">
        <v>20</v>
      </c>
      <c r="G26" s="1">
        <v>3</v>
      </c>
      <c r="H26" s="1">
        <v>12</v>
      </c>
      <c r="I26" s="1">
        <v>24</v>
      </c>
      <c r="J26" s="1" t="s">
        <v>21</v>
      </c>
      <c r="K26" s="1" t="s">
        <v>8</v>
      </c>
      <c r="L26" s="1">
        <v>0</v>
      </c>
      <c r="M26" s="1">
        <v>95</v>
      </c>
      <c r="N26" s="1">
        <v>4</v>
      </c>
      <c r="O26" s="1">
        <v>0</v>
      </c>
      <c r="P26" s="1">
        <v>0</v>
      </c>
      <c r="Q26">
        <f t="shared" si="0"/>
        <v>99</v>
      </c>
      <c r="R26" s="1">
        <f t="shared" si="1"/>
        <v>100</v>
      </c>
      <c r="S26" s="3">
        <f t="shared" si="2"/>
        <v>95.959595959595958</v>
      </c>
    </row>
    <row r="27" spans="1:19" x14ac:dyDescent="0.3">
      <c r="A27" s="1">
        <v>16</v>
      </c>
      <c r="B27" s="1" t="s">
        <v>26</v>
      </c>
      <c r="C27" s="1" t="s">
        <v>17</v>
      </c>
      <c r="D27" s="1" t="s">
        <v>17</v>
      </c>
      <c r="E27" s="1">
        <v>1</v>
      </c>
      <c r="F27" s="1" t="s">
        <v>20</v>
      </c>
      <c r="G27" s="1">
        <v>3</v>
      </c>
      <c r="H27" s="1">
        <v>10</v>
      </c>
      <c r="I27" s="1">
        <v>24</v>
      </c>
      <c r="J27" s="1" t="s">
        <v>27</v>
      </c>
      <c r="K27" s="1" t="s">
        <v>8</v>
      </c>
      <c r="L27" s="1">
        <v>0</v>
      </c>
      <c r="M27" s="1">
        <v>95</v>
      </c>
      <c r="N27" s="1">
        <v>3</v>
      </c>
      <c r="O27" s="1">
        <v>0</v>
      </c>
      <c r="P27" s="1">
        <v>0</v>
      </c>
      <c r="Q27">
        <f t="shared" si="0"/>
        <v>98</v>
      </c>
      <c r="R27" s="1">
        <f t="shared" si="1"/>
        <v>100</v>
      </c>
      <c r="S27" s="3">
        <f t="shared" si="2"/>
        <v>96.938775510204081</v>
      </c>
    </row>
    <row r="28" spans="1:19" x14ac:dyDescent="0.3">
      <c r="A28" s="1">
        <v>17</v>
      </c>
      <c r="B28" s="1" t="s">
        <v>26</v>
      </c>
      <c r="C28" s="1" t="s">
        <v>24</v>
      </c>
      <c r="D28" s="1">
        <v>50</v>
      </c>
      <c r="E28" s="1">
        <v>0.5</v>
      </c>
      <c r="F28" s="1" t="s">
        <v>20</v>
      </c>
      <c r="G28" s="1">
        <v>3</v>
      </c>
      <c r="H28" s="1">
        <v>16</v>
      </c>
      <c r="I28" s="1">
        <v>43</v>
      </c>
      <c r="J28" s="1" t="s">
        <v>21</v>
      </c>
      <c r="K28" s="1" t="s">
        <v>8</v>
      </c>
      <c r="L28" s="1">
        <v>0</v>
      </c>
      <c r="M28" s="1">
        <v>94</v>
      </c>
      <c r="N28" s="1">
        <v>4</v>
      </c>
      <c r="O28" s="1">
        <v>0</v>
      </c>
      <c r="P28" s="1">
        <v>0</v>
      </c>
      <c r="Q28">
        <f t="shared" si="0"/>
        <v>98</v>
      </c>
      <c r="R28" s="1">
        <f t="shared" si="1"/>
        <v>100</v>
      </c>
      <c r="S28" s="3">
        <f t="shared" si="2"/>
        <v>95.918367346938766</v>
      </c>
    </row>
    <row r="29" spans="1:19" x14ac:dyDescent="0.3">
      <c r="A29" s="1">
        <v>18</v>
      </c>
      <c r="B29" s="1" t="s">
        <v>26</v>
      </c>
      <c r="C29" s="1" t="s">
        <v>24</v>
      </c>
      <c r="D29" s="1">
        <v>50</v>
      </c>
      <c r="E29" s="1">
        <v>1</v>
      </c>
      <c r="F29" s="1" t="s">
        <v>20</v>
      </c>
      <c r="G29" s="1">
        <v>3</v>
      </c>
      <c r="H29" s="1">
        <v>16</v>
      </c>
      <c r="I29" s="1">
        <v>43</v>
      </c>
      <c r="J29" s="1" t="s">
        <v>21</v>
      </c>
      <c r="K29" s="1" t="s">
        <v>8</v>
      </c>
      <c r="L29" s="1">
        <v>0</v>
      </c>
      <c r="M29" s="1">
        <v>94</v>
      </c>
      <c r="N29" s="1">
        <v>5</v>
      </c>
      <c r="O29" s="1">
        <v>0</v>
      </c>
      <c r="P29" s="1">
        <v>0</v>
      </c>
      <c r="Q29">
        <f t="shared" si="0"/>
        <v>99</v>
      </c>
      <c r="R29" s="1">
        <f t="shared" si="1"/>
        <v>100</v>
      </c>
      <c r="S29" s="3">
        <f t="shared" si="2"/>
        <v>94.949494949494948</v>
      </c>
    </row>
    <row r="30" spans="1:19" x14ac:dyDescent="0.3">
      <c r="A30" s="1">
        <v>19</v>
      </c>
      <c r="B30" s="1" t="s">
        <v>31</v>
      </c>
      <c r="C30" s="1" t="s">
        <v>29</v>
      </c>
      <c r="D30" s="1">
        <v>90</v>
      </c>
      <c r="E30" s="1">
        <v>0.5</v>
      </c>
      <c r="F30" s="1" t="s">
        <v>20</v>
      </c>
      <c r="G30" s="1">
        <v>3</v>
      </c>
      <c r="H30" s="1">
        <v>16</v>
      </c>
      <c r="I30" s="1">
        <v>43</v>
      </c>
      <c r="J30" s="1" t="s">
        <v>21</v>
      </c>
      <c r="K30" s="1" t="s">
        <v>8</v>
      </c>
      <c r="L30" s="1">
        <v>0</v>
      </c>
      <c r="M30" s="1">
        <v>94</v>
      </c>
      <c r="N30" s="1">
        <v>5</v>
      </c>
      <c r="O30" s="1">
        <v>0</v>
      </c>
      <c r="P30" s="1">
        <v>0</v>
      </c>
      <c r="Q30">
        <f t="shared" si="0"/>
        <v>99</v>
      </c>
      <c r="R30" s="1">
        <f t="shared" si="1"/>
        <v>100</v>
      </c>
      <c r="S30" s="3">
        <f t="shared" si="2"/>
        <v>94.949494949494948</v>
      </c>
    </row>
    <row r="31" spans="1:19" x14ac:dyDescent="0.3">
      <c r="A31" s="1">
        <v>20</v>
      </c>
      <c r="B31" s="1" t="s">
        <v>26</v>
      </c>
      <c r="C31" s="1" t="s">
        <v>24</v>
      </c>
      <c r="D31" s="1">
        <v>50</v>
      </c>
      <c r="E31" s="1">
        <v>0.5</v>
      </c>
      <c r="F31" s="1" t="s">
        <v>20</v>
      </c>
      <c r="G31" s="1">
        <v>3</v>
      </c>
      <c r="H31" s="1">
        <v>8</v>
      </c>
      <c r="I31" s="1">
        <v>24</v>
      </c>
      <c r="J31" s="1" t="s">
        <v>21</v>
      </c>
      <c r="K31" s="1" t="s">
        <v>8</v>
      </c>
      <c r="L31" s="1">
        <v>0</v>
      </c>
      <c r="M31" s="1">
        <v>94</v>
      </c>
      <c r="N31" s="1">
        <v>0</v>
      </c>
      <c r="O31" s="1">
        <v>0</v>
      </c>
      <c r="P31" s="1">
        <v>0</v>
      </c>
      <c r="Q31">
        <f t="shared" si="0"/>
        <v>94</v>
      </c>
      <c r="R31" s="1">
        <f t="shared" si="1"/>
        <v>100</v>
      </c>
      <c r="S31" s="3">
        <f t="shared" si="2"/>
        <v>100</v>
      </c>
    </row>
    <row r="32" spans="1:19" x14ac:dyDescent="0.3">
      <c r="A32" s="1">
        <v>21</v>
      </c>
      <c r="B32" s="1" t="s">
        <v>31</v>
      </c>
      <c r="C32" s="1" t="s">
        <v>29</v>
      </c>
      <c r="D32" s="1">
        <v>75</v>
      </c>
      <c r="E32" s="1">
        <v>0.25</v>
      </c>
      <c r="F32" s="1" t="s">
        <v>20</v>
      </c>
      <c r="G32" s="1">
        <v>10</v>
      </c>
      <c r="H32" s="1">
        <v>16</v>
      </c>
      <c r="I32" s="1">
        <v>24</v>
      </c>
      <c r="J32" s="1" t="s">
        <v>21</v>
      </c>
      <c r="K32" s="1" t="s">
        <v>8</v>
      </c>
      <c r="L32" s="1">
        <v>0</v>
      </c>
      <c r="M32" s="1">
        <v>94</v>
      </c>
      <c r="N32" s="1">
        <v>10</v>
      </c>
      <c r="O32" s="1">
        <v>0</v>
      </c>
      <c r="P32" s="1">
        <v>0</v>
      </c>
      <c r="Q32">
        <f t="shared" si="0"/>
        <v>104</v>
      </c>
      <c r="R32" s="1">
        <f t="shared" si="1"/>
        <v>100</v>
      </c>
      <c r="S32" s="3">
        <f t="shared" si="2"/>
        <v>90.384615384615387</v>
      </c>
    </row>
    <row r="33" spans="1:19" x14ac:dyDescent="0.3">
      <c r="A33" s="1">
        <v>22</v>
      </c>
      <c r="B33" s="1" t="s">
        <v>26</v>
      </c>
      <c r="C33" s="1" t="s">
        <v>17</v>
      </c>
      <c r="D33" s="1" t="s">
        <v>17</v>
      </c>
      <c r="E33" s="1">
        <v>0.5</v>
      </c>
      <c r="F33" s="1" t="s">
        <v>20</v>
      </c>
      <c r="G33" s="1">
        <v>3</v>
      </c>
      <c r="H33" s="1">
        <v>12</v>
      </c>
      <c r="I33" s="1">
        <v>24</v>
      </c>
      <c r="J33" s="1" t="s">
        <v>21</v>
      </c>
      <c r="K33" s="1" t="s">
        <v>8</v>
      </c>
      <c r="L33" s="1">
        <v>0</v>
      </c>
      <c r="M33" s="1">
        <v>94</v>
      </c>
      <c r="N33" s="1">
        <v>3</v>
      </c>
      <c r="O33" s="1">
        <v>0</v>
      </c>
      <c r="P33" s="1">
        <v>0</v>
      </c>
      <c r="Q33">
        <f t="shared" si="0"/>
        <v>97</v>
      </c>
      <c r="R33" s="1">
        <f t="shared" si="1"/>
        <v>100</v>
      </c>
      <c r="S33" s="3">
        <f t="shared" si="2"/>
        <v>96.907216494845358</v>
      </c>
    </row>
    <row r="34" spans="1:19" x14ac:dyDescent="0.3">
      <c r="A34" s="1">
        <v>23</v>
      </c>
      <c r="B34" s="1" t="s">
        <v>31</v>
      </c>
      <c r="C34" s="1" t="s">
        <v>17</v>
      </c>
      <c r="D34" s="1" t="s">
        <v>17</v>
      </c>
      <c r="E34" s="1">
        <v>0.5</v>
      </c>
      <c r="F34" s="1" t="s">
        <v>20</v>
      </c>
      <c r="G34" s="1">
        <v>3</v>
      </c>
      <c r="H34" s="1">
        <v>12</v>
      </c>
      <c r="I34" s="1">
        <v>24</v>
      </c>
      <c r="J34" s="1" t="s">
        <v>21</v>
      </c>
      <c r="K34" s="1" t="s">
        <v>8</v>
      </c>
      <c r="L34" s="1">
        <v>0</v>
      </c>
      <c r="M34" s="1">
        <v>94</v>
      </c>
      <c r="N34" s="1">
        <v>5</v>
      </c>
      <c r="O34" s="1">
        <v>0</v>
      </c>
      <c r="P34" s="1">
        <v>0</v>
      </c>
      <c r="Q34">
        <f t="shared" si="0"/>
        <v>99</v>
      </c>
      <c r="R34" s="1">
        <f t="shared" si="1"/>
        <v>100</v>
      </c>
      <c r="S34" s="3">
        <f t="shared" si="2"/>
        <v>94.949494949494948</v>
      </c>
    </row>
    <row r="35" spans="1:19" x14ac:dyDescent="0.3">
      <c r="A35" s="1">
        <v>24</v>
      </c>
      <c r="B35" s="1" t="s">
        <v>26</v>
      </c>
      <c r="C35" s="1" t="s">
        <v>24</v>
      </c>
      <c r="D35" s="1">
        <v>55</v>
      </c>
      <c r="E35" s="1">
        <v>0.5</v>
      </c>
      <c r="F35" s="1" t="s">
        <v>20</v>
      </c>
      <c r="G35" s="1">
        <v>3</v>
      </c>
      <c r="H35" s="1">
        <v>17</v>
      </c>
      <c r="I35" s="1">
        <v>43</v>
      </c>
      <c r="J35" s="1" t="s">
        <v>21</v>
      </c>
      <c r="K35" s="1" t="s">
        <v>8</v>
      </c>
      <c r="L35" s="1">
        <v>0</v>
      </c>
      <c r="M35" s="1">
        <v>93</v>
      </c>
      <c r="N35" s="1">
        <v>3</v>
      </c>
      <c r="O35" s="1">
        <v>0</v>
      </c>
      <c r="P35" s="1">
        <v>0</v>
      </c>
      <c r="Q35">
        <f t="shared" si="0"/>
        <v>96</v>
      </c>
      <c r="R35" s="1">
        <f t="shared" si="1"/>
        <v>100</v>
      </c>
      <c r="S35" s="3">
        <f t="shared" si="2"/>
        <v>96.875</v>
      </c>
    </row>
    <row r="36" spans="1:19" x14ac:dyDescent="0.3">
      <c r="A36" s="1">
        <v>25</v>
      </c>
      <c r="B36" s="1" t="s">
        <v>26</v>
      </c>
      <c r="C36" s="1" t="s">
        <v>24</v>
      </c>
      <c r="D36" s="1">
        <v>20</v>
      </c>
      <c r="E36" s="1">
        <v>0.5</v>
      </c>
      <c r="F36" s="1" t="s">
        <v>20</v>
      </c>
      <c r="G36" s="1">
        <v>3</v>
      </c>
      <c r="H36" s="1">
        <v>17</v>
      </c>
      <c r="I36" s="1">
        <v>43</v>
      </c>
      <c r="J36" s="1" t="s">
        <v>21</v>
      </c>
      <c r="K36" s="1" t="s">
        <v>8</v>
      </c>
      <c r="L36" s="1">
        <v>0</v>
      </c>
      <c r="M36" s="1">
        <v>93</v>
      </c>
      <c r="N36" s="1">
        <v>5</v>
      </c>
      <c r="O36" s="1">
        <v>0</v>
      </c>
      <c r="P36" s="1">
        <v>2</v>
      </c>
      <c r="Q36">
        <f t="shared" si="0"/>
        <v>100</v>
      </c>
      <c r="R36" s="1">
        <f t="shared" si="1"/>
        <v>100</v>
      </c>
      <c r="S36" s="3">
        <f t="shared" si="2"/>
        <v>94.897959183673478</v>
      </c>
    </row>
    <row r="37" spans="1:19" x14ac:dyDescent="0.3">
      <c r="A37" s="1">
        <v>26</v>
      </c>
      <c r="B37" s="1" t="s">
        <v>24</v>
      </c>
      <c r="C37" s="1" t="s">
        <v>17</v>
      </c>
      <c r="D37" s="1" t="s">
        <v>17</v>
      </c>
      <c r="E37" s="1">
        <v>0.5</v>
      </c>
      <c r="F37" s="1" t="s">
        <v>20</v>
      </c>
      <c r="G37" s="1">
        <v>3</v>
      </c>
      <c r="H37" s="1">
        <v>10</v>
      </c>
      <c r="I37" s="1">
        <v>43</v>
      </c>
      <c r="J37" s="1" t="s">
        <v>21</v>
      </c>
      <c r="K37" s="1" t="s">
        <v>8</v>
      </c>
      <c r="L37" s="1">
        <v>0</v>
      </c>
      <c r="M37" s="1">
        <v>93</v>
      </c>
      <c r="N37" s="1">
        <v>7</v>
      </c>
      <c r="O37" s="1">
        <v>0</v>
      </c>
      <c r="P37" s="1">
        <v>0</v>
      </c>
      <c r="Q37">
        <f t="shared" si="0"/>
        <v>100</v>
      </c>
      <c r="R37" s="1">
        <f t="shared" si="1"/>
        <v>100</v>
      </c>
      <c r="S37" s="3">
        <f t="shared" si="2"/>
        <v>93</v>
      </c>
    </row>
    <row r="38" spans="1:19" x14ac:dyDescent="0.3">
      <c r="A38" s="1">
        <v>27</v>
      </c>
      <c r="B38" s="1" t="s">
        <v>31</v>
      </c>
      <c r="C38" s="1" t="s">
        <v>17</v>
      </c>
      <c r="D38" s="1" t="s">
        <v>17</v>
      </c>
      <c r="E38" s="1">
        <v>0.5</v>
      </c>
      <c r="F38" s="1" t="s">
        <v>20</v>
      </c>
      <c r="G38" s="1">
        <v>3</v>
      </c>
      <c r="H38" s="1">
        <v>8</v>
      </c>
      <c r="I38" s="1">
        <v>24</v>
      </c>
      <c r="J38" s="1" t="s">
        <v>21</v>
      </c>
      <c r="K38" s="1" t="s">
        <v>8</v>
      </c>
      <c r="L38" s="1">
        <v>0</v>
      </c>
      <c r="M38" s="1">
        <v>93</v>
      </c>
      <c r="N38" s="1">
        <v>4</v>
      </c>
      <c r="O38" s="1">
        <v>0</v>
      </c>
      <c r="P38" s="1">
        <v>0</v>
      </c>
      <c r="Q38">
        <f t="shared" si="0"/>
        <v>97</v>
      </c>
      <c r="R38" s="1">
        <f t="shared" si="1"/>
        <v>100</v>
      </c>
      <c r="S38" s="3">
        <f t="shared" si="2"/>
        <v>95.876288659793815</v>
      </c>
    </row>
    <row r="39" spans="1:19" x14ac:dyDescent="0.3">
      <c r="A39" s="1">
        <v>28</v>
      </c>
      <c r="B39" s="1" t="s">
        <v>26</v>
      </c>
      <c r="C39" s="1" t="s">
        <v>17</v>
      </c>
      <c r="D39" s="1" t="s">
        <v>17</v>
      </c>
      <c r="E39" s="1">
        <v>0.5</v>
      </c>
      <c r="F39" s="1" t="s">
        <v>20</v>
      </c>
      <c r="G39" s="1">
        <v>3</v>
      </c>
      <c r="H39" s="1">
        <v>8</v>
      </c>
      <c r="I39" s="1">
        <v>24</v>
      </c>
      <c r="J39" s="1" t="s">
        <v>27</v>
      </c>
      <c r="K39" s="1" t="s">
        <v>8</v>
      </c>
      <c r="L39" s="1">
        <v>4</v>
      </c>
      <c r="M39" s="1">
        <v>93</v>
      </c>
      <c r="N39" s="1">
        <v>1</v>
      </c>
      <c r="O39" s="1">
        <v>0</v>
      </c>
      <c r="P39" s="1">
        <v>0</v>
      </c>
      <c r="Q39">
        <f t="shared" si="0"/>
        <v>98</v>
      </c>
      <c r="R39" s="1">
        <f t="shared" si="1"/>
        <v>96</v>
      </c>
      <c r="S39" s="3">
        <f t="shared" si="2"/>
        <v>98.936170212765958</v>
      </c>
    </row>
    <row r="40" spans="1:19" x14ac:dyDescent="0.3">
      <c r="A40" s="1">
        <v>29</v>
      </c>
      <c r="B40" s="1" t="s">
        <v>26</v>
      </c>
      <c r="C40" s="1" t="s">
        <v>24</v>
      </c>
      <c r="D40" s="1">
        <v>50</v>
      </c>
      <c r="E40" s="1">
        <v>0.25</v>
      </c>
      <c r="F40" s="1" t="s">
        <v>20</v>
      </c>
      <c r="G40" s="1">
        <v>3</v>
      </c>
      <c r="H40" s="1">
        <v>16</v>
      </c>
      <c r="I40" s="1">
        <v>43</v>
      </c>
      <c r="J40" s="1" t="s">
        <v>21</v>
      </c>
      <c r="K40" s="1" t="s">
        <v>8</v>
      </c>
      <c r="L40" s="1">
        <v>0</v>
      </c>
      <c r="M40" s="1">
        <v>92</v>
      </c>
      <c r="N40" s="1">
        <v>0</v>
      </c>
      <c r="O40" s="1">
        <v>0</v>
      </c>
      <c r="P40" s="1">
        <v>0</v>
      </c>
      <c r="Q40">
        <f t="shared" si="0"/>
        <v>92</v>
      </c>
      <c r="R40" s="1">
        <f t="shared" si="1"/>
        <v>100</v>
      </c>
      <c r="S40" s="3">
        <f t="shared" si="2"/>
        <v>100</v>
      </c>
    </row>
    <row r="41" spans="1:19" x14ac:dyDescent="0.3">
      <c r="A41" s="1">
        <v>30</v>
      </c>
      <c r="B41" s="1" t="s">
        <v>26</v>
      </c>
      <c r="C41" s="1" t="s">
        <v>24</v>
      </c>
      <c r="D41" s="1">
        <v>50</v>
      </c>
      <c r="E41" s="1">
        <v>0.5</v>
      </c>
      <c r="F41" s="1" t="s">
        <v>20</v>
      </c>
      <c r="G41" s="1">
        <v>3</v>
      </c>
      <c r="H41" s="1">
        <v>8</v>
      </c>
      <c r="I41" s="1">
        <v>43</v>
      </c>
      <c r="J41" s="1" t="s">
        <v>21</v>
      </c>
      <c r="K41" s="1" t="s">
        <v>9</v>
      </c>
      <c r="L41" s="1">
        <v>0</v>
      </c>
      <c r="M41" s="1">
        <v>92</v>
      </c>
      <c r="N41" s="1">
        <v>2</v>
      </c>
      <c r="O41" s="1">
        <v>0</v>
      </c>
      <c r="P41" s="1">
        <v>0</v>
      </c>
      <c r="Q41">
        <f t="shared" si="0"/>
        <v>94</v>
      </c>
      <c r="R41" s="1">
        <f t="shared" si="1"/>
        <v>100</v>
      </c>
      <c r="S41" s="3">
        <f t="shared" si="2"/>
        <v>97.872340425531917</v>
      </c>
    </row>
    <row r="42" spans="1:19" x14ac:dyDescent="0.3">
      <c r="A42" s="1">
        <v>31</v>
      </c>
      <c r="B42" s="1" t="s">
        <v>23</v>
      </c>
      <c r="C42" s="1" t="s">
        <v>17</v>
      </c>
      <c r="D42" s="1" t="s">
        <v>17</v>
      </c>
      <c r="E42" s="1">
        <v>0.5</v>
      </c>
      <c r="F42" s="1" t="s">
        <v>20</v>
      </c>
      <c r="G42" s="1">
        <v>3</v>
      </c>
      <c r="H42" s="1">
        <v>16</v>
      </c>
      <c r="I42" s="1">
        <v>43</v>
      </c>
      <c r="J42" s="1" t="s">
        <v>21</v>
      </c>
      <c r="K42" s="1" t="s">
        <v>8</v>
      </c>
      <c r="L42" s="1">
        <v>0</v>
      </c>
      <c r="M42" s="1">
        <v>92</v>
      </c>
      <c r="N42" s="1">
        <v>6</v>
      </c>
      <c r="O42" s="1">
        <v>0</v>
      </c>
      <c r="P42" s="1">
        <v>0</v>
      </c>
      <c r="Q42">
        <f t="shared" si="0"/>
        <v>98</v>
      </c>
      <c r="R42" s="1">
        <f t="shared" si="1"/>
        <v>100</v>
      </c>
      <c r="S42" s="3">
        <f t="shared" si="2"/>
        <v>93.877551020408163</v>
      </c>
    </row>
    <row r="43" spans="1:19" x14ac:dyDescent="0.3">
      <c r="A43" s="1">
        <v>32</v>
      </c>
      <c r="B43" s="1" t="s">
        <v>26</v>
      </c>
      <c r="C43" s="1" t="s">
        <v>17</v>
      </c>
      <c r="D43" s="1" t="s">
        <v>17</v>
      </c>
      <c r="E43" s="1">
        <v>0.5</v>
      </c>
      <c r="F43" s="1" t="s">
        <v>20</v>
      </c>
      <c r="G43" s="1">
        <v>3</v>
      </c>
      <c r="H43" s="1">
        <v>6</v>
      </c>
      <c r="I43" s="1">
        <v>24</v>
      </c>
      <c r="J43" s="1" t="s">
        <v>27</v>
      </c>
      <c r="K43" s="1" t="s">
        <v>8</v>
      </c>
      <c r="L43" s="1">
        <v>5</v>
      </c>
      <c r="M43" s="1">
        <v>92</v>
      </c>
      <c r="N43" s="1">
        <v>1</v>
      </c>
      <c r="O43" s="1">
        <v>0</v>
      </c>
      <c r="P43" s="1">
        <v>0</v>
      </c>
      <c r="Q43">
        <f t="shared" si="0"/>
        <v>98</v>
      </c>
      <c r="R43" s="1">
        <f t="shared" si="1"/>
        <v>95</v>
      </c>
      <c r="S43" s="3">
        <f t="shared" si="2"/>
        <v>98.924731182795696</v>
      </c>
    </row>
    <row r="44" spans="1:19" x14ac:dyDescent="0.3">
      <c r="A44" s="1">
        <v>33</v>
      </c>
      <c r="B44" s="1" t="s">
        <v>26</v>
      </c>
      <c r="C44" s="1" t="s">
        <v>17</v>
      </c>
      <c r="D44" s="1" t="s">
        <v>17</v>
      </c>
      <c r="E44" s="1">
        <v>0.5</v>
      </c>
      <c r="F44" s="1" t="s">
        <v>20</v>
      </c>
      <c r="G44" s="1">
        <v>3</v>
      </c>
      <c r="H44" s="1">
        <v>10</v>
      </c>
      <c r="I44" s="1">
        <v>24</v>
      </c>
      <c r="J44" s="1" t="s">
        <v>27</v>
      </c>
      <c r="K44" s="1" t="s">
        <v>8</v>
      </c>
      <c r="L44" s="1">
        <v>0</v>
      </c>
      <c r="M44" s="1">
        <v>92</v>
      </c>
      <c r="N44" s="1">
        <v>1</v>
      </c>
      <c r="O44" s="1">
        <v>0</v>
      </c>
      <c r="P44" s="1">
        <v>0</v>
      </c>
      <c r="Q44">
        <f t="shared" ref="Q44:Q75" si="3">L44+M44+N44+O44+P44</f>
        <v>93</v>
      </c>
      <c r="R44" s="1">
        <f t="shared" ref="R44:R75" si="4">100-L44</f>
        <v>100</v>
      </c>
      <c r="S44" s="3">
        <f t="shared" ref="S44:S75" si="5">(M44/(M44+N44))*100</f>
        <v>98.924731182795696</v>
      </c>
    </row>
    <row r="45" spans="1:19" x14ac:dyDescent="0.3">
      <c r="A45" s="1">
        <v>34</v>
      </c>
      <c r="B45" s="1" t="s">
        <v>30</v>
      </c>
      <c r="C45" s="1" t="s">
        <v>17</v>
      </c>
      <c r="D45" s="1" t="s">
        <v>17</v>
      </c>
      <c r="E45" s="1">
        <v>0.5</v>
      </c>
      <c r="F45" s="1" t="s">
        <v>20</v>
      </c>
      <c r="G45" s="1">
        <v>3</v>
      </c>
      <c r="H45" s="1">
        <v>16</v>
      </c>
      <c r="I45" s="1">
        <v>43</v>
      </c>
      <c r="J45" s="1" t="s">
        <v>21</v>
      </c>
      <c r="K45" s="1" t="s">
        <v>8</v>
      </c>
      <c r="L45" s="1">
        <v>0</v>
      </c>
      <c r="M45" s="1">
        <v>91</v>
      </c>
      <c r="N45" s="1">
        <v>7</v>
      </c>
      <c r="O45" s="1">
        <v>0</v>
      </c>
      <c r="P45" s="1">
        <v>0</v>
      </c>
      <c r="Q45">
        <f t="shared" si="3"/>
        <v>98</v>
      </c>
      <c r="R45" s="1">
        <f t="shared" si="4"/>
        <v>100</v>
      </c>
      <c r="S45" s="3">
        <f t="shared" si="5"/>
        <v>92.857142857142861</v>
      </c>
    </row>
    <row r="46" spans="1:19" x14ac:dyDescent="0.3">
      <c r="A46" s="1">
        <v>35</v>
      </c>
      <c r="B46" s="1" t="s">
        <v>26</v>
      </c>
      <c r="C46" s="1" t="s">
        <v>17</v>
      </c>
      <c r="D46" s="1" t="s">
        <v>17</v>
      </c>
      <c r="E46" s="1">
        <v>0.5</v>
      </c>
      <c r="F46" s="1" t="s">
        <v>20</v>
      </c>
      <c r="G46" s="1">
        <v>3</v>
      </c>
      <c r="H46" s="1">
        <v>12</v>
      </c>
      <c r="I46" s="1">
        <v>24</v>
      </c>
      <c r="J46" s="1" t="s">
        <v>27</v>
      </c>
      <c r="K46" s="1" t="s">
        <v>8</v>
      </c>
      <c r="L46" s="1">
        <v>0</v>
      </c>
      <c r="M46" s="1">
        <v>91</v>
      </c>
      <c r="N46" s="1">
        <v>4</v>
      </c>
      <c r="O46" s="1">
        <v>0</v>
      </c>
      <c r="P46" s="1">
        <v>0</v>
      </c>
      <c r="Q46">
        <f t="shared" si="3"/>
        <v>95</v>
      </c>
      <c r="R46" s="1">
        <f t="shared" si="4"/>
        <v>100</v>
      </c>
      <c r="S46" s="3">
        <f t="shared" si="5"/>
        <v>95.78947368421052</v>
      </c>
    </row>
    <row r="47" spans="1:19" x14ac:dyDescent="0.3">
      <c r="A47" s="1">
        <v>36</v>
      </c>
      <c r="B47" s="1" t="s">
        <v>23</v>
      </c>
      <c r="C47" s="1" t="s">
        <v>17</v>
      </c>
      <c r="D47" s="1" t="s">
        <v>17</v>
      </c>
      <c r="E47" s="1">
        <v>0.5</v>
      </c>
      <c r="F47" s="1" t="s">
        <v>20</v>
      </c>
      <c r="G47" s="1">
        <v>3</v>
      </c>
      <c r="H47" s="1">
        <v>12</v>
      </c>
      <c r="I47" s="1">
        <v>24</v>
      </c>
      <c r="J47" s="1" t="s">
        <v>21</v>
      </c>
      <c r="K47" s="1" t="s">
        <v>8</v>
      </c>
      <c r="L47" s="1">
        <v>0</v>
      </c>
      <c r="M47" s="1">
        <v>90</v>
      </c>
      <c r="N47" s="1">
        <v>1</v>
      </c>
      <c r="O47" s="1">
        <v>0</v>
      </c>
      <c r="P47" s="1">
        <v>0</v>
      </c>
      <c r="Q47">
        <f t="shared" si="3"/>
        <v>91</v>
      </c>
      <c r="R47" s="1">
        <f t="shared" si="4"/>
        <v>100</v>
      </c>
      <c r="S47" s="3">
        <f t="shared" si="5"/>
        <v>98.901098901098905</v>
      </c>
    </row>
    <row r="48" spans="1:19" x14ac:dyDescent="0.3">
      <c r="A48" s="1">
        <v>37</v>
      </c>
      <c r="B48" s="1" t="s">
        <v>26</v>
      </c>
      <c r="C48" s="1" t="s">
        <v>24</v>
      </c>
      <c r="D48" s="1">
        <v>50</v>
      </c>
      <c r="E48" s="1">
        <v>0.5</v>
      </c>
      <c r="F48" s="1" t="s">
        <v>20</v>
      </c>
      <c r="G48" s="1">
        <v>3</v>
      </c>
      <c r="H48" s="1">
        <v>6</v>
      </c>
      <c r="I48" s="1">
        <v>24</v>
      </c>
      <c r="J48" s="1" t="s">
        <v>27</v>
      </c>
      <c r="K48" s="1" t="s">
        <v>8</v>
      </c>
      <c r="L48" s="1">
        <v>5</v>
      </c>
      <c r="M48" s="1">
        <v>89</v>
      </c>
      <c r="N48" s="1">
        <v>0</v>
      </c>
      <c r="O48" s="1">
        <v>0</v>
      </c>
      <c r="P48" s="1">
        <v>0</v>
      </c>
      <c r="Q48">
        <f t="shared" si="3"/>
        <v>94</v>
      </c>
      <c r="R48" s="1">
        <f t="shared" si="4"/>
        <v>95</v>
      </c>
      <c r="S48" s="3">
        <f t="shared" si="5"/>
        <v>100</v>
      </c>
    </row>
    <row r="49" spans="1:19" x14ac:dyDescent="0.3">
      <c r="A49" s="1">
        <v>38</v>
      </c>
      <c r="B49" s="1" t="s">
        <v>31</v>
      </c>
      <c r="C49" s="1" t="s">
        <v>29</v>
      </c>
      <c r="D49" s="1">
        <v>75</v>
      </c>
      <c r="E49" s="1">
        <v>0.25</v>
      </c>
      <c r="F49" s="1" t="s">
        <v>20</v>
      </c>
      <c r="G49" s="1">
        <v>10</v>
      </c>
      <c r="H49" s="1">
        <v>16</v>
      </c>
      <c r="I49" s="1">
        <v>24</v>
      </c>
      <c r="J49" s="1" t="s">
        <v>21</v>
      </c>
      <c r="K49" s="1" t="s">
        <v>8</v>
      </c>
      <c r="L49" s="1">
        <v>0</v>
      </c>
      <c r="M49" s="1">
        <v>89</v>
      </c>
      <c r="N49" s="1">
        <v>21</v>
      </c>
      <c r="O49" s="1">
        <v>0</v>
      </c>
      <c r="P49" s="1">
        <v>0</v>
      </c>
      <c r="Q49">
        <f t="shared" si="3"/>
        <v>110</v>
      </c>
      <c r="R49" s="1">
        <f t="shared" si="4"/>
        <v>100</v>
      </c>
      <c r="S49" s="3">
        <f t="shared" si="5"/>
        <v>80.909090909090907</v>
      </c>
    </row>
    <row r="50" spans="1:19" x14ac:dyDescent="0.3">
      <c r="A50" s="1">
        <v>39</v>
      </c>
      <c r="B50" s="1" t="s">
        <v>32</v>
      </c>
      <c r="C50" s="1" t="s">
        <v>17</v>
      </c>
      <c r="D50" s="1" t="s">
        <v>17</v>
      </c>
      <c r="E50" s="1">
        <v>0.5</v>
      </c>
      <c r="F50" s="1" t="s">
        <v>20</v>
      </c>
      <c r="G50" s="1">
        <v>3</v>
      </c>
      <c r="H50" s="1">
        <v>8</v>
      </c>
      <c r="I50" s="1">
        <v>24</v>
      </c>
      <c r="J50" s="1" t="s">
        <v>21</v>
      </c>
      <c r="K50" s="1" t="s">
        <v>8</v>
      </c>
      <c r="L50" s="1">
        <v>0</v>
      </c>
      <c r="M50" s="1">
        <v>88</v>
      </c>
      <c r="N50" s="1">
        <v>2</v>
      </c>
      <c r="O50" s="1">
        <v>0</v>
      </c>
      <c r="P50" s="1">
        <v>0</v>
      </c>
      <c r="Q50">
        <f t="shared" si="3"/>
        <v>90</v>
      </c>
      <c r="R50" s="1">
        <f t="shared" si="4"/>
        <v>100</v>
      </c>
      <c r="S50" s="3">
        <f t="shared" si="5"/>
        <v>97.777777777777771</v>
      </c>
    </row>
    <row r="51" spans="1:19" x14ac:dyDescent="0.3">
      <c r="A51" s="1">
        <v>40</v>
      </c>
      <c r="B51" s="1" t="s">
        <v>26</v>
      </c>
      <c r="C51" s="1" t="s">
        <v>17</v>
      </c>
      <c r="D51" s="1" t="s">
        <v>17</v>
      </c>
      <c r="E51" s="1">
        <v>0.5</v>
      </c>
      <c r="F51" s="1" t="s">
        <v>20</v>
      </c>
      <c r="G51" s="1">
        <v>3</v>
      </c>
      <c r="H51" s="1">
        <v>8</v>
      </c>
      <c r="I51" s="1">
        <v>24</v>
      </c>
      <c r="J51" s="1" t="s">
        <v>21</v>
      </c>
      <c r="K51" s="1" t="s">
        <v>8</v>
      </c>
      <c r="L51" s="1">
        <v>0</v>
      </c>
      <c r="M51" s="1">
        <v>88</v>
      </c>
      <c r="N51" s="1">
        <v>0</v>
      </c>
      <c r="O51" s="1">
        <v>0</v>
      </c>
      <c r="P51" s="1">
        <v>0</v>
      </c>
      <c r="Q51">
        <f t="shared" si="3"/>
        <v>88</v>
      </c>
      <c r="R51" s="1">
        <f t="shared" si="4"/>
        <v>100</v>
      </c>
      <c r="S51" s="3">
        <f t="shared" si="5"/>
        <v>100</v>
      </c>
    </row>
    <row r="52" spans="1:19" x14ac:dyDescent="0.3">
      <c r="A52" s="1">
        <v>41</v>
      </c>
      <c r="B52" s="1" t="s">
        <v>24</v>
      </c>
      <c r="C52" s="1" t="s">
        <v>17</v>
      </c>
      <c r="D52" s="1" t="s">
        <v>17</v>
      </c>
      <c r="E52" s="1">
        <v>0.5</v>
      </c>
      <c r="F52" s="1" t="s">
        <v>20</v>
      </c>
      <c r="G52" s="1">
        <v>3</v>
      </c>
      <c r="H52" s="1">
        <v>8</v>
      </c>
      <c r="I52" s="1">
        <v>24</v>
      </c>
      <c r="J52" s="1" t="s">
        <v>21</v>
      </c>
      <c r="K52" s="1" t="s">
        <v>8</v>
      </c>
      <c r="L52" s="1">
        <v>0</v>
      </c>
      <c r="M52" s="1">
        <v>88</v>
      </c>
      <c r="N52" s="1">
        <v>0</v>
      </c>
      <c r="O52" s="1">
        <v>0</v>
      </c>
      <c r="P52" s="1">
        <v>0</v>
      </c>
      <c r="Q52">
        <f t="shared" si="3"/>
        <v>88</v>
      </c>
      <c r="R52" s="1">
        <f t="shared" si="4"/>
        <v>100</v>
      </c>
      <c r="S52" s="3">
        <f t="shared" si="5"/>
        <v>100</v>
      </c>
    </row>
    <row r="53" spans="1:19" x14ac:dyDescent="0.3">
      <c r="A53" s="1">
        <v>42</v>
      </c>
      <c r="B53" s="1" t="s">
        <v>23</v>
      </c>
      <c r="C53" s="1" t="s">
        <v>17</v>
      </c>
      <c r="D53" s="1" t="s">
        <v>17</v>
      </c>
      <c r="E53" s="1">
        <v>0.5</v>
      </c>
      <c r="F53" s="1" t="s">
        <v>20</v>
      </c>
      <c r="G53" s="1">
        <v>3</v>
      </c>
      <c r="H53" s="1">
        <v>8</v>
      </c>
      <c r="I53" s="1">
        <v>24</v>
      </c>
      <c r="J53" s="1" t="s">
        <v>21</v>
      </c>
      <c r="K53" s="1" t="s">
        <v>8</v>
      </c>
      <c r="L53" s="1">
        <v>0</v>
      </c>
      <c r="M53" s="1">
        <v>88</v>
      </c>
      <c r="N53" s="1">
        <v>9</v>
      </c>
      <c r="O53" s="1">
        <v>0</v>
      </c>
      <c r="P53" s="1">
        <v>0</v>
      </c>
      <c r="Q53">
        <f t="shared" si="3"/>
        <v>97</v>
      </c>
      <c r="R53" s="1">
        <f t="shared" si="4"/>
        <v>100</v>
      </c>
      <c r="S53" s="3">
        <f t="shared" si="5"/>
        <v>90.721649484536087</v>
      </c>
    </row>
    <row r="54" spans="1:19" x14ac:dyDescent="0.3">
      <c r="A54" s="1">
        <v>43</v>
      </c>
      <c r="B54" s="1" t="s">
        <v>26</v>
      </c>
      <c r="C54" s="1" t="s">
        <v>17</v>
      </c>
      <c r="D54" s="1" t="s">
        <v>17</v>
      </c>
      <c r="E54" s="1">
        <v>0.5</v>
      </c>
      <c r="F54" s="1" t="s">
        <v>20</v>
      </c>
      <c r="G54" s="1">
        <v>2</v>
      </c>
      <c r="H54" s="1">
        <v>10</v>
      </c>
      <c r="I54" s="1">
        <v>24</v>
      </c>
      <c r="J54" s="1" t="s">
        <v>27</v>
      </c>
      <c r="K54" s="1" t="s">
        <v>8</v>
      </c>
      <c r="L54" s="1">
        <v>0</v>
      </c>
      <c r="M54" s="1">
        <v>87</v>
      </c>
      <c r="N54" s="1">
        <v>2</v>
      </c>
      <c r="O54" s="1">
        <v>0</v>
      </c>
      <c r="P54" s="1">
        <v>0</v>
      </c>
      <c r="Q54">
        <f t="shared" si="3"/>
        <v>89</v>
      </c>
      <c r="R54" s="1">
        <f t="shared" si="4"/>
        <v>100</v>
      </c>
      <c r="S54" s="3">
        <f t="shared" si="5"/>
        <v>97.752808988764045</v>
      </c>
    </row>
    <row r="55" spans="1:19" x14ac:dyDescent="0.3">
      <c r="A55" s="1">
        <v>44</v>
      </c>
      <c r="B55" s="1" t="s">
        <v>26</v>
      </c>
      <c r="C55" s="1" t="s">
        <v>24</v>
      </c>
      <c r="D55" s="1">
        <v>40</v>
      </c>
      <c r="E55" s="1">
        <v>0.5</v>
      </c>
      <c r="F55" s="1" t="s">
        <v>20</v>
      </c>
      <c r="G55" s="1">
        <v>3</v>
      </c>
      <c r="H55" s="1">
        <v>17</v>
      </c>
      <c r="I55" s="1">
        <v>43</v>
      </c>
      <c r="J55" s="1" t="s">
        <v>21</v>
      </c>
      <c r="K55" s="1" t="s">
        <v>8</v>
      </c>
      <c r="L55" s="1">
        <v>0</v>
      </c>
      <c r="M55" s="1">
        <v>86</v>
      </c>
      <c r="N55" s="1">
        <v>5</v>
      </c>
      <c r="O55" s="1">
        <v>0</v>
      </c>
      <c r="P55" s="1">
        <v>0</v>
      </c>
      <c r="Q55">
        <f t="shared" si="3"/>
        <v>91</v>
      </c>
      <c r="R55" s="1">
        <f t="shared" si="4"/>
        <v>100</v>
      </c>
      <c r="S55" s="3">
        <f t="shared" si="5"/>
        <v>94.505494505494497</v>
      </c>
    </row>
    <row r="56" spans="1:19" x14ac:dyDescent="0.3">
      <c r="A56" s="1">
        <v>45</v>
      </c>
      <c r="B56" s="1" t="s">
        <v>24</v>
      </c>
      <c r="C56" s="1" t="s">
        <v>17</v>
      </c>
      <c r="D56" s="1" t="s">
        <v>17</v>
      </c>
      <c r="E56" s="1">
        <v>0.5</v>
      </c>
      <c r="F56" s="1" t="s">
        <v>20</v>
      </c>
      <c r="G56" s="1">
        <v>3</v>
      </c>
      <c r="H56" s="1">
        <v>24</v>
      </c>
      <c r="I56" s="1">
        <v>43</v>
      </c>
      <c r="J56" s="1" t="s">
        <v>21</v>
      </c>
      <c r="K56" s="1" t="s">
        <v>8</v>
      </c>
      <c r="L56" s="1">
        <v>0</v>
      </c>
      <c r="M56" s="1">
        <v>86</v>
      </c>
      <c r="N56" s="1">
        <v>15</v>
      </c>
      <c r="O56" s="1">
        <v>0</v>
      </c>
      <c r="P56" s="1">
        <v>0</v>
      </c>
      <c r="Q56">
        <f t="shared" si="3"/>
        <v>101</v>
      </c>
      <c r="R56" s="1">
        <f t="shared" si="4"/>
        <v>100</v>
      </c>
      <c r="S56" s="3">
        <f t="shared" si="5"/>
        <v>85.148514851485146</v>
      </c>
    </row>
    <row r="57" spans="1:19" x14ac:dyDescent="0.3">
      <c r="A57" s="1">
        <v>46</v>
      </c>
      <c r="B57" s="1" t="s">
        <v>28</v>
      </c>
      <c r="C57" s="1" t="s">
        <v>17</v>
      </c>
      <c r="D57" s="1" t="s">
        <v>17</v>
      </c>
      <c r="E57" s="1">
        <v>0.5</v>
      </c>
      <c r="F57" s="1" t="s">
        <v>20</v>
      </c>
      <c r="G57" s="1">
        <v>3</v>
      </c>
      <c r="H57" s="1">
        <v>8</v>
      </c>
      <c r="I57" s="1">
        <v>43</v>
      </c>
      <c r="J57" s="1" t="s">
        <v>21</v>
      </c>
      <c r="K57" s="1" t="s">
        <v>9</v>
      </c>
      <c r="L57" s="1">
        <v>12</v>
      </c>
      <c r="M57" s="1">
        <v>86</v>
      </c>
      <c r="N57" s="1">
        <v>1</v>
      </c>
      <c r="O57" s="1">
        <v>0</v>
      </c>
      <c r="P57" s="1">
        <v>0</v>
      </c>
      <c r="Q57">
        <f t="shared" si="3"/>
        <v>99</v>
      </c>
      <c r="R57" s="1">
        <f t="shared" si="4"/>
        <v>88</v>
      </c>
      <c r="S57" s="3">
        <f t="shared" si="5"/>
        <v>98.850574712643677</v>
      </c>
    </row>
    <row r="58" spans="1:19" x14ac:dyDescent="0.3">
      <c r="A58" s="1">
        <v>47</v>
      </c>
      <c r="B58" s="1" t="s">
        <v>26</v>
      </c>
      <c r="C58" s="1" t="s">
        <v>29</v>
      </c>
      <c r="D58" s="1">
        <v>87.5</v>
      </c>
      <c r="E58" s="1">
        <v>0.5</v>
      </c>
      <c r="F58" s="1" t="s">
        <v>20</v>
      </c>
      <c r="G58" s="1">
        <v>10</v>
      </c>
      <c r="H58" s="1">
        <v>17</v>
      </c>
      <c r="I58" s="1">
        <v>24</v>
      </c>
      <c r="J58" s="1" t="s">
        <v>21</v>
      </c>
      <c r="K58" s="1" t="s">
        <v>8</v>
      </c>
      <c r="L58" s="1">
        <v>0</v>
      </c>
      <c r="M58" s="1">
        <v>86</v>
      </c>
      <c r="N58" s="1">
        <v>12</v>
      </c>
      <c r="O58" s="1">
        <v>0</v>
      </c>
      <c r="P58" s="1">
        <v>0</v>
      </c>
      <c r="Q58">
        <f t="shared" si="3"/>
        <v>98</v>
      </c>
      <c r="R58" s="1">
        <f t="shared" si="4"/>
        <v>100</v>
      </c>
      <c r="S58" s="3">
        <f t="shared" si="5"/>
        <v>87.755102040816325</v>
      </c>
    </row>
    <row r="59" spans="1:19" x14ac:dyDescent="0.3">
      <c r="A59" s="1">
        <v>48</v>
      </c>
      <c r="B59" s="1" t="s">
        <v>26</v>
      </c>
      <c r="C59" s="1" t="s">
        <v>24</v>
      </c>
      <c r="D59" s="1">
        <v>45</v>
      </c>
      <c r="E59" s="1">
        <v>0.5</v>
      </c>
      <c r="F59" s="1" t="s">
        <v>20</v>
      </c>
      <c r="G59" s="1">
        <v>3</v>
      </c>
      <c r="H59" s="1">
        <v>17</v>
      </c>
      <c r="I59" s="1">
        <v>43</v>
      </c>
      <c r="J59" s="1" t="s">
        <v>21</v>
      </c>
      <c r="K59" s="1" t="s">
        <v>8</v>
      </c>
      <c r="L59" s="1">
        <v>0</v>
      </c>
      <c r="M59" s="1">
        <v>84</v>
      </c>
      <c r="N59" s="1">
        <v>3</v>
      </c>
      <c r="O59" s="1">
        <v>0</v>
      </c>
      <c r="P59" s="1">
        <v>0</v>
      </c>
      <c r="Q59">
        <f t="shared" si="3"/>
        <v>87</v>
      </c>
      <c r="R59" s="1">
        <f t="shared" si="4"/>
        <v>100</v>
      </c>
      <c r="S59" s="3">
        <f t="shared" si="5"/>
        <v>96.551724137931032</v>
      </c>
    </row>
    <row r="60" spans="1:19" x14ac:dyDescent="0.3">
      <c r="A60" s="1">
        <v>49</v>
      </c>
      <c r="B60" s="1" t="s">
        <v>26</v>
      </c>
      <c r="C60" s="1" t="s">
        <v>17</v>
      </c>
      <c r="D60" s="1" t="s">
        <v>17</v>
      </c>
      <c r="E60" s="1">
        <v>0.5</v>
      </c>
      <c r="F60" s="1" t="s">
        <v>20</v>
      </c>
      <c r="G60" s="1">
        <v>3</v>
      </c>
      <c r="H60" s="1">
        <v>6.5</v>
      </c>
      <c r="I60" s="1">
        <v>24</v>
      </c>
      <c r="J60" s="1" t="s">
        <v>27</v>
      </c>
      <c r="K60" s="1" t="s">
        <v>8</v>
      </c>
      <c r="L60" s="1">
        <v>8</v>
      </c>
      <c r="M60" s="1">
        <v>84</v>
      </c>
      <c r="N60" s="1">
        <v>1</v>
      </c>
      <c r="O60" s="1">
        <v>0</v>
      </c>
      <c r="P60" s="1">
        <v>0</v>
      </c>
      <c r="Q60">
        <f t="shared" si="3"/>
        <v>93</v>
      </c>
      <c r="R60" s="1">
        <f t="shared" si="4"/>
        <v>92</v>
      </c>
      <c r="S60" s="3">
        <f t="shared" si="5"/>
        <v>98.82352941176471</v>
      </c>
    </row>
    <row r="61" spans="1:19" x14ac:dyDescent="0.3">
      <c r="A61" s="1">
        <v>50</v>
      </c>
      <c r="B61" s="1" t="s">
        <v>26</v>
      </c>
      <c r="C61" s="1" t="s">
        <v>36</v>
      </c>
      <c r="D61" s="1">
        <v>75</v>
      </c>
      <c r="E61" s="1">
        <v>0.5</v>
      </c>
      <c r="F61" s="1" t="s">
        <v>20</v>
      </c>
      <c r="G61" s="1">
        <v>3</v>
      </c>
      <c r="H61" s="1">
        <v>17</v>
      </c>
      <c r="I61" s="1">
        <v>24</v>
      </c>
      <c r="J61" s="1" t="s">
        <v>21</v>
      </c>
      <c r="K61" s="1" t="s">
        <v>8</v>
      </c>
      <c r="L61" s="1">
        <v>0</v>
      </c>
      <c r="M61" s="1">
        <v>82</v>
      </c>
      <c r="N61" s="1">
        <v>3</v>
      </c>
      <c r="O61" s="1">
        <v>0</v>
      </c>
      <c r="P61" s="1">
        <v>0</v>
      </c>
      <c r="Q61">
        <f t="shared" si="3"/>
        <v>85</v>
      </c>
      <c r="R61" s="1">
        <f t="shared" si="4"/>
        <v>100</v>
      </c>
      <c r="S61" s="3">
        <f t="shared" si="5"/>
        <v>96.470588235294116</v>
      </c>
    </row>
    <row r="62" spans="1:19" x14ac:dyDescent="0.3">
      <c r="A62" s="1">
        <v>51</v>
      </c>
      <c r="B62" s="1" t="s">
        <v>26</v>
      </c>
      <c r="C62" s="1" t="s">
        <v>29</v>
      </c>
      <c r="D62" s="1">
        <v>75</v>
      </c>
      <c r="E62" s="1">
        <v>0.1</v>
      </c>
      <c r="F62" s="1" t="s">
        <v>20</v>
      </c>
      <c r="G62" s="1">
        <v>10</v>
      </c>
      <c r="H62" s="1">
        <v>17</v>
      </c>
      <c r="I62" s="1">
        <v>24</v>
      </c>
      <c r="J62" s="1" t="s">
        <v>21</v>
      </c>
      <c r="K62" s="1" t="s">
        <v>8</v>
      </c>
      <c r="L62" s="1">
        <v>0</v>
      </c>
      <c r="M62" s="1">
        <v>82</v>
      </c>
      <c r="N62" s="1">
        <v>28</v>
      </c>
      <c r="O62" s="1">
        <v>0</v>
      </c>
      <c r="P62" s="1">
        <v>0</v>
      </c>
      <c r="Q62">
        <f t="shared" si="3"/>
        <v>110</v>
      </c>
      <c r="R62" s="1">
        <f t="shared" si="4"/>
        <v>100</v>
      </c>
      <c r="S62" s="3">
        <f t="shared" si="5"/>
        <v>74.545454545454547</v>
      </c>
    </row>
    <row r="63" spans="1:19" x14ac:dyDescent="0.3">
      <c r="A63" s="1">
        <v>52</v>
      </c>
      <c r="B63" s="1" t="s">
        <v>24</v>
      </c>
      <c r="C63" s="1" t="s">
        <v>17</v>
      </c>
      <c r="D63" s="1" t="s">
        <v>17</v>
      </c>
      <c r="E63" s="1">
        <v>0.5</v>
      </c>
      <c r="F63" s="1" t="s">
        <v>20</v>
      </c>
      <c r="G63" s="1">
        <v>1</v>
      </c>
      <c r="H63" s="1">
        <v>8</v>
      </c>
      <c r="I63" s="1">
        <v>43</v>
      </c>
      <c r="J63" s="1" t="s">
        <v>21</v>
      </c>
      <c r="K63" s="1" t="s">
        <v>8</v>
      </c>
      <c r="L63" s="1">
        <v>4</v>
      </c>
      <c r="M63" s="1">
        <v>81</v>
      </c>
      <c r="N63" s="1">
        <v>6</v>
      </c>
      <c r="O63" s="1">
        <v>0</v>
      </c>
      <c r="P63" s="1">
        <v>4</v>
      </c>
      <c r="Q63">
        <f t="shared" si="3"/>
        <v>95</v>
      </c>
      <c r="R63" s="1">
        <f t="shared" si="4"/>
        <v>96</v>
      </c>
      <c r="S63" s="3">
        <f t="shared" si="5"/>
        <v>93.103448275862064</v>
      </c>
    </row>
    <row r="64" spans="1:19" x14ac:dyDescent="0.3">
      <c r="A64" s="1">
        <v>53</v>
      </c>
      <c r="B64" s="1" t="s">
        <v>26</v>
      </c>
      <c r="C64" s="1" t="s">
        <v>37</v>
      </c>
      <c r="D64" s="1">
        <v>75</v>
      </c>
      <c r="E64" s="1">
        <v>0.5</v>
      </c>
      <c r="F64" s="1" t="s">
        <v>20</v>
      </c>
      <c r="G64" s="1">
        <v>3</v>
      </c>
      <c r="H64" s="1">
        <v>17</v>
      </c>
      <c r="I64" s="1">
        <v>24</v>
      </c>
      <c r="J64" s="1" t="s">
        <v>21</v>
      </c>
      <c r="K64" s="1" t="s">
        <v>8</v>
      </c>
      <c r="L64" s="1">
        <v>0</v>
      </c>
      <c r="M64" s="1">
        <v>81</v>
      </c>
      <c r="N64" s="1">
        <v>6</v>
      </c>
      <c r="O64" s="1">
        <v>0</v>
      </c>
      <c r="P64" s="1">
        <v>0</v>
      </c>
      <c r="Q64">
        <f t="shared" si="3"/>
        <v>87</v>
      </c>
      <c r="R64" s="1">
        <f t="shared" si="4"/>
        <v>100</v>
      </c>
      <c r="S64" s="3">
        <f t="shared" si="5"/>
        <v>93.103448275862064</v>
      </c>
    </row>
    <row r="65" spans="1:19" x14ac:dyDescent="0.3">
      <c r="A65" s="1">
        <v>54</v>
      </c>
      <c r="B65" s="1" t="s">
        <v>26</v>
      </c>
      <c r="C65" s="1" t="s">
        <v>29</v>
      </c>
      <c r="D65" s="1">
        <v>75</v>
      </c>
      <c r="E65" s="1">
        <v>0.25</v>
      </c>
      <c r="F65" s="1" t="s">
        <v>20</v>
      </c>
      <c r="G65" s="1">
        <v>10</v>
      </c>
      <c r="H65" s="1">
        <v>17</v>
      </c>
      <c r="I65" s="1">
        <v>24</v>
      </c>
      <c r="J65" s="1" t="s">
        <v>21</v>
      </c>
      <c r="K65" s="1" t="s">
        <v>8</v>
      </c>
      <c r="L65" s="1">
        <v>0</v>
      </c>
      <c r="M65" s="1">
        <v>81</v>
      </c>
      <c r="N65" s="1">
        <v>27</v>
      </c>
      <c r="O65" s="1">
        <v>0</v>
      </c>
      <c r="P65" s="1">
        <v>0</v>
      </c>
      <c r="Q65">
        <f t="shared" si="3"/>
        <v>108</v>
      </c>
      <c r="R65" s="1">
        <f t="shared" si="4"/>
        <v>100</v>
      </c>
      <c r="S65" s="3">
        <f t="shared" si="5"/>
        <v>75</v>
      </c>
    </row>
    <row r="66" spans="1:19" x14ac:dyDescent="0.3">
      <c r="A66" s="1">
        <v>55</v>
      </c>
      <c r="B66" s="1" t="s">
        <v>24</v>
      </c>
      <c r="C66" s="1" t="s">
        <v>17</v>
      </c>
      <c r="D66" s="1" t="s">
        <v>17</v>
      </c>
      <c r="E66" s="1">
        <v>0.5</v>
      </c>
      <c r="F66" s="1" t="s">
        <v>20</v>
      </c>
      <c r="G66" s="1">
        <v>3</v>
      </c>
      <c r="H66" s="1">
        <v>17</v>
      </c>
      <c r="I66" s="1">
        <v>43</v>
      </c>
      <c r="J66" s="1" t="s">
        <v>21</v>
      </c>
      <c r="K66" s="1" t="s">
        <v>8</v>
      </c>
      <c r="L66" s="1">
        <v>0</v>
      </c>
      <c r="M66" s="1">
        <v>80</v>
      </c>
      <c r="N66" s="1">
        <v>17</v>
      </c>
      <c r="O66" s="1">
        <v>0</v>
      </c>
      <c r="P66" s="1">
        <v>6</v>
      </c>
      <c r="Q66">
        <f t="shared" si="3"/>
        <v>103</v>
      </c>
      <c r="R66" s="1">
        <f t="shared" si="4"/>
        <v>100</v>
      </c>
      <c r="S66" s="3">
        <f t="shared" si="5"/>
        <v>82.474226804123703</v>
      </c>
    </row>
    <row r="67" spans="1:19" x14ac:dyDescent="0.3">
      <c r="A67" s="1">
        <v>56</v>
      </c>
      <c r="B67" s="1" t="s">
        <v>26</v>
      </c>
      <c r="C67" s="1" t="s">
        <v>24</v>
      </c>
      <c r="D67" s="1">
        <v>50</v>
      </c>
      <c r="E67" s="1">
        <v>2</v>
      </c>
      <c r="F67" s="1" t="s">
        <v>20</v>
      </c>
      <c r="G67" s="1">
        <v>3</v>
      </c>
      <c r="H67" s="1">
        <v>16</v>
      </c>
      <c r="I67" s="1">
        <v>43</v>
      </c>
      <c r="J67" s="1" t="s">
        <v>21</v>
      </c>
      <c r="K67" s="1" t="s">
        <v>8</v>
      </c>
      <c r="L67" s="1">
        <v>0</v>
      </c>
      <c r="M67" s="1">
        <v>80</v>
      </c>
      <c r="N67" s="1">
        <v>11</v>
      </c>
      <c r="O67" s="1">
        <v>0</v>
      </c>
      <c r="P67" s="1">
        <v>0</v>
      </c>
      <c r="Q67">
        <f t="shared" si="3"/>
        <v>91</v>
      </c>
      <c r="R67" s="1">
        <f t="shared" si="4"/>
        <v>100</v>
      </c>
      <c r="S67" s="3">
        <f t="shared" si="5"/>
        <v>87.912087912087912</v>
      </c>
    </row>
    <row r="68" spans="1:19" x14ac:dyDescent="0.3">
      <c r="A68" s="1">
        <v>57</v>
      </c>
      <c r="B68" s="1" t="s">
        <v>31</v>
      </c>
      <c r="C68" s="1" t="s">
        <v>17</v>
      </c>
      <c r="D68" s="1" t="s">
        <v>17</v>
      </c>
      <c r="E68" s="1">
        <v>0.5</v>
      </c>
      <c r="F68" s="1" t="s">
        <v>20</v>
      </c>
      <c r="G68" s="1">
        <v>3</v>
      </c>
      <c r="H68" s="1">
        <v>16</v>
      </c>
      <c r="I68" s="1">
        <v>43</v>
      </c>
      <c r="J68" s="1" t="s">
        <v>21</v>
      </c>
      <c r="K68" s="1" t="s">
        <v>8</v>
      </c>
      <c r="L68" s="1">
        <v>0</v>
      </c>
      <c r="M68" s="1">
        <v>80</v>
      </c>
      <c r="N68" s="1">
        <v>13</v>
      </c>
      <c r="O68" s="1">
        <v>0</v>
      </c>
      <c r="P68" s="1">
        <v>0</v>
      </c>
      <c r="Q68">
        <f t="shared" si="3"/>
        <v>93</v>
      </c>
      <c r="R68" s="1">
        <f t="shared" si="4"/>
        <v>100</v>
      </c>
      <c r="S68" s="3">
        <f t="shared" si="5"/>
        <v>86.021505376344081</v>
      </c>
    </row>
    <row r="69" spans="1:19" x14ac:dyDescent="0.3">
      <c r="A69" s="1">
        <v>58</v>
      </c>
      <c r="B69" s="1" t="s">
        <v>23</v>
      </c>
      <c r="C69" s="1" t="s">
        <v>24</v>
      </c>
      <c r="D69" s="1">
        <v>50</v>
      </c>
      <c r="E69" s="1">
        <v>0.5</v>
      </c>
      <c r="F69" s="1" t="s">
        <v>20</v>
      </c>
      <c r="G69" s="1">
        <v>3</v>
      </c>
      <c r="H69" s="1">
        <v>17</v>
      </c>
      <c r="I69" s="1">
        <v>43</v>
      </c>
      <c r="J69" s="1" t="s">
        <v>21</v>
      </c>
      <c r="K69" s="1" t="s">
        <v>8</v>
      </c>
      <c r="L69" s="1">
        <v>0</v>
      </c>
      <c r="M69" s="1">
        <v>79</v>
      </c>
      <c r="N69" s="1">
        <v>12</v>
      </c>
      <c r="O69" s="1">
        <v>0</v>
      </c>
      <c r="P69" s="1">
        <v>0</v>
      </c>
      <c r="Q69">
        <f t="shared" si="3"/>
        <v>91</v>
      </c>
      <c r="R69" s="1">
        <f t="shared" si="4"/>
        <v>100</v>
      </c>
      <c r="S69" s="3">
        <f t="shared" si="5"/>
        <v>86.813186813186817</v>
      </c>
    </row>
    <row r="70" spans="1:19" x14ac:dyDescent="0.3">
      <c r="A70" s="1">
        <v>59</v>
      </c>
      <c r="B70" s="1" t="s">
        <v>16</v>
      </c>
      <c r="C70" s="1" t="s">
        <v>17</v>
      </c>
      <c r="D70" s="1" t="s">
        <v>17</v>
      </c>
      <c r="E70" s="1">
        <v>0.5</v>
      </c>
      <c r="F70" s="1" t="s">
        <v>20</v>
      </c>
      <c r="G70" s="1">
        <v>3</v>
      </c>
      <c r="H70" s="1">
        <v>8</v>
      </c>
      <c r="I70" s="1">
        <v>43</v>
      </c>
      <c r="J70" s="1" t="s">
        <v>21</v>
      </c>
      <c r="K70" s="1" t="s">
        <v>9</v>
      </c>
      <c r="L70" s="1">
        <v>0</v>
      </c>
      <c r="M70" s="1">
        <v>77</v>
      </c>
      <c r="N70" s="1">
        <v>15</v>
      </c>
      <c r="O70" s="1">
        <v>0</v>
      </c>
      <c r="P70" s="1">
        <v>0</v>
      </c>
      <c r="Q70">
        <f t="shared" si="3"/>
        <v>92</v>
      </c>
      <c r="R70" s="1">
        <f t="shared" si="4"/>
        <v>100</v>
      </c>
      <c r="S70" s="3">
        <f t="shared" si="5"/>
        <v>83.695652173913047</v>
      </c>
    </row>
    <row r="71" spans="1:19" x14ac:dyDescent="0.3">
      <c r="A71" s="1">
        <v>60</v>
      </c>
      <c r="B71" s="1" t="s">
        <v>26</v>
      </c>
      <c r="C71" s="1" t="s">
        <v>38</v>
      </c>
      <c r="D71" s="1">
        <v>75</v>
      </c>
      <c r="E71" s="1">
        <v>0.5</v>
      </c>
      <c r="F71" s="1" t="s">
        <v>20</v>
      </c>
      <c r="G71" s="1">
        <v>3</v>
      </c>
      <c r="H71" s="1">
        <v>17</v>
      </c>
      <c r="I71" s="1">
        <v>24</v>
      </c>
      <c r="J71" s="1" t="s">
        <v>21</v>
      </c>
      <c r="K71" s="1" t="s">
        <v>8</v>
      </c>
      <c r="L71" s="1">
        <v>0</v>
      </c>
      <c r="M71" s="1">
        <v>77</v>
      </c>
      <c r="N71" s="1">
        <v>8</v>
      </c>
      <c r="O71" s="1">
        <v>0</v>
      </c>
      <c r="P71" s="1">
        <v>0</v>
      </c>
      <c r="Q71">
        <f t="shared" si="3"/>
        <v>85</v>
      </c>
      <c r="R71" s="1">
        <f t="shared" si="4"/>
        <v>100</v>
      </c>
      <c r="S71" s="3">
        <f t="shared" si="5"/>
        <v>90.588235294117652</v>
      </c>
    </row>
    <row r="72" spans="1:19" x14ac:dyDescent="0.3">
      <c r="A72" s="1">
        <v>61</v>
      </c>
      <c r="B72" s="1" t="s">
        <v>24</v>
      </c>
      <c r="C72" s="1" t="s">
        <v>17</v>
      </c>
      <c r="D72" s="1" t="s">
        <v>17</v>
      </c>
      <c r="E72" s="1">
        <v>0.5</v>
      </c>
      <c r="F72" s="1" t="s">
        <v>20</v>
      </c>
      <c r="G72" s="1">
        <v>3</v>
      </c>
      <c r="H72" s="1">
        <v>12</v>
      </c>
      <c r="I72" s="1">
        <v>43</v>
      </c>
      <c r="J72" s="1" t="s">
        <v>21</v>
      </c>
      <c r="K72" s="1" t="s">
        <v>8</v>
      </c>
      <c r="L72" s="1">
        <v>0</v>
      </c>
      <c r="M72" s="1">
        <v>76</v>
      </c>
      <c r="N72" s="1">
        <v>4</v>
      </c>
      <c r="O72" s="1">
        <v>0</v>
      </c>
      <c r="P72" s="1">
        <v>10</v>
      </c>
      <c r="Q72">
        <f t="shared" si="3"/>
        <v>90</v>
      </c>
      <c r="R72" s="1">
        <f t="shared" si="4"/>
        <v>100</v>
      </c>
      <c r="S72" s="3">
        <f t="shared" si="5"/>
        <v>95</v>
      </c>
    </row>
    <row r="73" spans="1:19" x14ac:dyDescent="0.3">
      <c r="A73" s="1">
        <v>62</v>
      </c>
      <c r="B73" s="1" t="s">
        <v>26</v>
      </c>
      <c r="C73" s="1" t="s">
        <v>29</v>
      </c>
      <c r="D73" s="1">
        <v>75</v>
      </c>
      <c r="E73" s="1">
        <v>0.5</v>
      </c>
      <c r="F73" s="1" t="s">
        <v>20</v>
      </c>
      <c r="G73" s="1">
        <v>3</v>
      </c>
      <c r="H73" s="1">
        <v>17</v>
      </c>
      <c r="I73" s="1">
        <v>24</v>
      </c>
      <c r="J73" s="1" t="s">
        <v>21</v>
      </c>
      <c r="K73" s="1" t="s">
        <v>8</v>
      </c>
      <c r="L73" s="1">
        <v>0</v>
      </c>
      <c r="M73" s="1">
        <v>76</v>
      </c>
      <c r="N73" s="1">
        <v>25</v>
      </c>
      <c r="O73" s="1">
        <v>0</v>
      </c>
      <c r="P73" s="1">
        <v>0</v>
      </c>
      <c r="Q73">
        <f t="shared" si="3"/>
        <v>101</v>
      </c>
      <c r="R73" s="1">
        <f t="shared" si="4"/>
        <v>100</v>
      </c>
      <c r="S73" s="3">
        <f t="shared" si="5"/>
        <v>75.247524752475243</v>
      </c>
    </row>
    <row r="74" spans="1:19" x14ac:dyDescent="0.3">
      <c r="A74" s="1">
        <v>63</v>
      </c>
      <c r="B74" s="1" t="s">
        <v>23</v>
      </c>
      <c r="C74" s="1" t="s">
        <v>17</v>
      </c>
      <c r="D74" s="1" t="s">
        <v>17</v>
      </c>
      <c r="E74" s="1">
        <v>0.5</v>
      </c>
      <c r="F74" s="1" t="s">
        <v>20</v>
      </c>
      <c r="G74" s="1">
        <v>3</v>
      </c>
      <c r="H74" s="1">
        <v>8</v>
      </c>
      <c r="I74" s="1">
        <v>43</v>
      </c>
      <c r="J74" s="1" t="s">
        <v>21</v>
      </c>
      <c r="K74" s="1" t="s">
        <v>9</v>
      </c>
      <c r="L74" s="1">
        <v>15</v>
      </c>
      <c r="M74" s="1">
        <v>75</v>
      </c>
      <c r="N74" s="1">
        <v>1</v>
      </c>
      <c r="O74" s="1">
        <v>0</v>
      </c>
      <c r="P74" s="1">
        <v>0</v>
      </c>
      <c r="Q74">
        <f t="shared" si="3"/>
        <v>91</v>
      </c>
      <c r="R74" s="1">
        <f t="shared" si="4"/>
        <v>85</v>
      </c>
      <c r="S74" s="3">
        <f t="shared" si="5"/>
        <v>98.68421052631578</v>
      </c>
    </row>
    <row r="75" spans="1:19" x14ac:dyDescent="0.3">
      <c r="A75" s="1">
        <v>64</v>
      </c>
      <c r="B75" s="1" t="s">
        <v>26</v>
      </c>
      <c r="C75" s="1" t="s">
        <v>29</v>
      </c>
      <c r="D75" s="1">
        <v>50</v>
      </c>
      <c r="E75" s="1">
        <v>0.5</v>
      </c>
      <c r="F75" s="1" t="s">
        <v>20</v>
      </c>
      <c r="G75" s="1">
        <v>10</v>
      </c>
      <c r="H75" s="1">
        <v>4</v>
      </c>
      <c r="I75" s="1">
        <v>43</v>
      </c>
      <c r="J75" s="1" t="s">
        <v>21</v>
      </c>
      <c r="K75" s="1" t="s">
        <v>8</v>
      </c>
      <c r="L75" s="1">
        <v>0</v>
      </c>
      <c r="M75" s="1">
        <v>75</v>
      </c>
      <c r="N75" s="1">
        <v>24</v>
      </c>
      <c r="O75" s="1">
        <v>0</v>
      </c>
      <c r="P75" s="1">
        <v>0</v>
      </c>
      <c r="Q75">
        <f t="shared" si="3"/>
        <v>99</v>
      </c>
      <c r="R75" s="1">
        <f t="shared" si="4"/>
        <v>100</v>
      </c>
      <c r="S75" s="3">
        <f t="shared" si="5"/>
        <v>75.757575757575751</v>
      </c>
    </row>
    <row r="76" spans="1:19" x14ac:dyDescent="0.3">
      <c r="A76" s="1">
        <v>65</v>
      </c>
      <c r="B76" s="1" t="s">
        <v>31</v>
      </c>
      <c r="C76" s="1" t="s">
        <v>29</v>
      </c>
      <c r="D76" s="1">
        <v>50</v>
      </c>
      <c r="E76" s="1">
        <v>2</v>
      </c>
      <c r="F76" s="1" t="s">
        <v>20</v>
      </c>
      <c r="G76" s="1">
        <v>3</v>
      </c>
      <c r="H76" s="1">
        <v>24</v>
      </c>
      <c r="I76" s="1">
        <v>43</v>
      </c>
      <c r="J76" s="1" t="s">
        <v>21</v>
      </c>
      <c r="K76" s="1" t="s">
        <v>8</v>
      </c>
      <c r="L76" s="1">
        <v>0</v>
      </c>
      <c r="M76" s="1">
        <v>75</v>
      </c>
      <c r="N76" s="1">
        <v>16</v>
      </c>
      <c r="O76" s="1">
        <v>0</v>
      </c>
      <c r="P76" s="1">
        <v>0</v>
      </c>
      <c r="Q76">
        <f t="shared" ref="Q76:Q107" si="6">L76+M76+N76+O76+P76</f>
        <v>91</v>
      </c>
      <c r="R76" s="1">
        <f t="shared" ref="R76:R107" si="7">100-L76</f>
        <v>100</v>
      </c>
      <c r="S76" s="3">
        <f t="shared" ref="S76:S107" si="8">(M76/(M76+N76))*100</f>
        <v>82.417582417582409</v>
      </c>
    </row>
    <row r="77" spans="1:19" x14ac:dyDescent="0.3">
      <c r="A77" s="1">
        <v>66</v>
      </c>
      <c r="B77" s="1" t="s">
        <v>29</v>
      </c>
      <c r="C77" s="1" t="s">
        <v>17</v>
      </c>
      <c r="D77" s="1" t="s">
        <v>17</v>
      </c>
      <c r="E77" s="1">
        <v>0.5</v>
      </c>
      <c r="F77" s="1" t="s">
        <v>20</v>
      </c>
      <c r="G77" s="1">
        <v>3</v>
      </c>
      <c r="H77" s="1">
        <v>16</v>
      </c>
      <c r="I77" s="1">
        <v>43</v>
      </c>
      <c r="J77" s="1" t="s">
        <v>21</v>
      </c>
      <c r="K77" s="1" t="s">
        <v>9</v>
      </c>
      <c r="L77" s="1">
        <v>0</v>
      </c>
      <c r="M77" s="1">
        <v>74</v>
      </c>
      <c r="N77" s="1">
        <v>14</v>
      </c>
      <c r="O77" s="1">
        <v>0</v>
      </c>
      <c r="P77" s="1">
        <v>0</v>
      </c>
      <c r="Q77">
        <f t="shared" si="6"/>
        <v>88</v>
      </c>
      <c r="R77" s="1">
        <f t="shared" si="7"/>
        <v>100</v>
      </c>
      <c r="S77" s="3">
        <f t="shared" si="8"/>
        <v>84.090909090909093</v>
      </c>
    </row>
    <row r="78" spans="1:19" x14ac:dyDescent="0.3">
      <c r="A78" s="1">
        <v>67</v>
      </c>
      <c r="B78" s="1" t="s">
        <v>26</v>
      </c>
      <c r="C78" s="1" t="s">
        <v>29</v>
      </c>
      <c r="D78" s="1">
        <v>50</v>
      </c>
      <c r="E78" s="1">
        <v>0.5</v>
      </c>
      <c r="F78" s="1" t="s">
        <v>20</v>
      </c>
      <c r="G78" s="1">
        <v>10</v>
      </c>
      <c r="H78" s="1">
        <v>8</v>
      </c>
      <c r="I78" s="1">
        <v>43</v>
      </c>
      <c r="J78" s="1" t="s">
        <v>21</v>
      </c>
      <c r="K78" s="1" t="s">
        <v>8</v>
      </c>
      <c r="L78" s="1">
        <v>0</v>
      </c>
      <c r="M78" s="1">
        <v>74</v>
      </c>
      <c r="N78" s="1">
        <v>24</v>
      </c>
      <c r="O78" s="1">
        <v>0</v>
      </c>
      <c r="P78" s="1">
        <v>0</v>
      </c>
      <c r="Q78">
        <f t="shared" si="6"/>
        <v>98</v>
      </c>
      <c r="R78" s="1">
        <f t="shared" si="7"/>
        <v>100</v>
      </c>
      <c r="S78" s="3">
        <f t="shared" si="8"/>
        <v>75.510204081632651</v>
      </c>
    </row>
    <row r="79" spans="1:19" x14ac:dyDescent="0.3">
      <c r="A79" s="1">
        <v>68</v>
      </c>
      <c r="B79" s="1" t="s">
        <v>31</v>
      </c>
      <c r="C79" s="1" t="s">
        <v>29</v>
      </c>
      <c r="D79" s="1">
        <v>75</v>
      </c>
      <c r="E79" s="1">
        <v>0.25</v>
      </c>
      <c r="F79" s="1" t="s">
        <v>20</v>
      </c>
      <c r="G79" s="1">
        <v>10</v>
      </c>
      <c r="H79" s="1">
        <v>16</v>
      </c>
      <c r="I79" s="1">
        <v>24</v>
      </c>
      <c r="J79" s="1" t="s">
        <v>21</v>
      </c>
      <c r="K79" s="1" t="s">
        <v>8</v>
      </c>
      <c r="L79" s="1">
        <v>0</v>
      </c>
      <c r="M79" s="1">
        <v>74</v>
      </c>
      <c r="N79" s="1">
        <v>38</v>
      </c>
      <c r="O79" s="1">
        <v>0</v>
      </c>
      <c r="P79" s="1">
        <v>0</v>
      </c>
      <c r="Q79">
        <f t="shared" si="6"/>
        <v>112</v>
      </c>
      <c r="R79" s="1">
        <f t="shared" si="7"/>
        <v>100</v>
      </c>
      <c r="S79" s="3">
        <f t="shared" si="8"/>
        <v>66.071428571428569</v>
      </c>
    </row>
    <row r="80" spans="1:19" x14ac:dyDescent="0.3">
      <c r="A80" s="1">
        <v>69</v>
      </c>
      <c r="B80" s="1" t="s">
        <v>26</v>
      </c>
      <c r="C80" s="1" t="s">
        <v>29</v>
      </c>
      <c r="D80" s="1">
        <v>75</v>
      </c>
      <c r="E80" s="1">
        <v>0.5</v>
      </c>
      <c r="F80" s="1" t="s">
        <v>20</v>
      </c>
      <c r="G80" s="1">
        <v>10</v>
      </c>
      <c r="H80" s="1">
        <v>17</v>
      </c>
      <c r="I80" s="1">
        <v>24</v>
      </c>
      <c r="J80" s="1" t="s">
        <v>21</v>
      </c>
      <c r="K80" s="1" t="s">
        <v>8</v>
      </c>
      <c r="L80" s="1">
        <v>0</v>
      </c>
      <c r="M80" s="1">
        <v>74</v>
      </c>
      <c r="N80" s="1">
        <v>25</v>
      </c>
      <c r="O80" s="1">
        <v>0</v>
      </c>
      <c r="P80" s="1">
        <v>0</v>
      </c>
      <c r="Q80">
        <f t="shared" si="6"/>
        <v>99</v>
      </c>
      <c r="R80" s="1">
        <f t="shared" si="7"/>
        <v>100</v>
      </c>
      <c r="S80" s="3">
        <f t="shared" si="8"/>
        <v>74.747474747474755</v>
      </c>
    </row>
    <row r="81" spans="1:19" x14ac:dyDescent="0.3">
      <c r="A81" s="1">
        <v>70</v>
      </c>
      <c r="B81" s="1" t="s">
        <v>26</v>
      </c>
      <c r="C81" s="1" t="s">
        <v>29</v>
      </c>
      <c r="D81" s="1">
        <v>50</v>
      </c>
      <c r="E81" s="1">
        <v>0.5</v>
      </c>
      <c r="F81" s="1" t="s">
        <v>20</v>
      </c>
      <c r="G81" s="1">
        <v>5</v>
      </c>
      <c r="H81" s="1">
        <v>16</v>
      </c>
      <c r="I81" s="1">
        <v>43</v>
      </c>
      <c r="J81" s="1" t="s">
        <v>21</v>
      </c>
      <c r="K81" s="1" t="s">
        <v>8</v>
      </c>
      <c r="L81" s="1">
        <v>0</v>
      </c>
      <c r="M81" s="1">
        <v>73</v>
      </c>
      <c r="N81" s="1">
        <v>23</v>
      </c>
      <c r="O81" s="1">
        <v>0</v>
      </c>
      <c r="P81" s="1">
        <v>0</v>
      </c>
      <c r="Q81">
        <f t="shared" si="6"/>
        <v>96</v>
      </c>
      <c r="R81" s="1">
        <f t="shared" si="7"/>
        <v>100</v>
      </c>
      <c r="S81" s="3">
        <f t="shared" si="8"/>
        <v>76.041666666666657</v>
      </c>
    </row>
    <row r="82" spans="1:19" x14ac:dyDescent="0.3">
      <c r="A82" s="1">
        <v>71</v>
      </c>
      <c r="B82" s="1" t="s">
        <v>31</v>
      </c>
      <c r="C82" s="1" t="s">
        <v>29</v>
      </c>
      <c r="D82" s="1">
        <v>75</v>
      </c>
      <c r="E82" s="1">
        <v>0.5</v>
      </c>
      <c r="F82" s="1" t="s">
        <v>20</v>
      </c>
      <c r="G82" s="1">
        <v>3</v>
      </c>
      <c r="H82" s="1">
        <v>16</v>
      </c>
      <c r="I82" s="1">
        <v>43</v>
      </c>
      <c r="J82" s="1" t="s">
        <v>21</v>
      </c>
      <c r="K82" s="1" t="s">
        <v>8</v>
      </c>
      <c r="L82" s="1">
        <v>0</v>
      </c>
      <c r="M82" s="1">
        <v>73</v>
      </c>
      <c r="N82" s="1">
        <v>26</v>
      </c>
      <c r="O82" s="1">
        <v>0</v>
      </c>
      <c r="P82" s="1">
        <v>0</v>
      </c>
      <c r="Q82">
        <f t="shared" si="6"/>
        <v>99</v>
      </c>
      <c r="R82" s="1">
        <f t="shared" si="7"/>
        <v>100</v>
      </c>
      <c r="S82" s="3">
        <f t="shared" si="8"/>
        <v>73.73737373737373</v>
      </c>
    </row>
    <row r="83" spans="1:19" x14ac:dyDescent="0.3">
      <c r="A83" s="1">
        <v>72</v>
      </c>
      <c r="B83" s="1" t="s">
        <v>39</v>
      </c>
      <c r="C83" s="1" t="s">
        <v>17</v>
      </c>
      <c r="D83" s="1" t="s">
        <v>17</v>
      </c>
      <c r="E83" s="1">
        <v>0.5</v>
      </c>
      <c r="F83" s="1" t="s">
        <v>20</v>
      </c>
      <c r="G83" s="1">
        <v>3</v>
      </c>
      <c r="H83" s="1">
        <v>12</v>
      </c>
      <c r="I83" s="1">
        <v>24</v>
      </c>
      <c r="J83" s="1" t="s">
        <v>21</v>
      </c>
      <c r="K83" s="1" t="s">
        <v>8</v>
      </c>
      <c r="L83" s="1">
        <v>0</v>
      </c>
      <c r="M83" s="1">
        <v>73</v>
      </c>
      <c r="N83" s="1">
        <v>14</v>
      </c>
      <c r="O83" s="1">
        <v>0</v>
      </c>
      <c r="P83" s="1">
        <v>0</v>
      </c>
      <c r="Q83">
        <f t="shared" si="6"/>
        <v>87</v>
      </c>
      <c r="R83" s="1">
        <f t="shared" si="7"/>
        <v>100</v>
      </c>
      <c r="S83" s="3">
        <f t="shared" si="8"/>
        <v>83.908045977011497</v>
      </c>
    </row>
    <row r="84" spans="1:19" x14ac:dyDescent="0.3">
      <c r="A84" s="1">
        <v>73</v>
      </c>
      <c r="B84" s="1" t="s">
        <v>31</v>
      </c>
      <c r="C84" s="1" t="s">
        <v>29</v>
      </c>
      <c r="D84" s="1">
        <v>75</v>
      </c>
      <c r="E84" s="1">
        <v>0.25</v>
      </c>
      <c r="F84" s="1" t="s">
        <v>20</v>
      </c>
      <c r="G84" s="1">
        <v>10</v>
      </c>
      <c r="H84" s="1">
        <v>16</v>
      </c>
      <c r="I84" s="1">
        <v>24</v>
      </c>
      <c r="J84" s="1" t="s">
        <v>21</v>
      </c>
      <c r="K84" s="1" t="s">
        <v>8</v>
      </c>
      <c r="L84" s="1">
        <v>0</v>
      </c>
      <c r="M84" s="1">
        <v>72</v>
      </c>
      <c r="N84" s="1">
        <v>33</v>
      </c>
      <c r="O84" s="1">
        <v>0</v>
      </c>
      <c r="P84" s="1">
        <v>0</v>
      </c>
      <c r="Q84">
        <f t="shared" si="6"/>
        <v>105</v>
      </c>
      <c r="R84" s="1">
        <f t="shared" si="7"/>
        <v>100</v>
      </c>
      <c r="S84" s="3">
        <f t="shared" si="8"/>
        <v>68.571428571428569</v>
      </c>
    </row>
    <row r="85" spans="1:19" x14ac:dyDescent="0.3">
      <c r="A85" s="1">
        <v>74</v>
      </c>
      <c r="B85" s="1" t="s">
        <v>24</v>
      </c>
      <c r="C85" s="1" t="s">
        <v>17</v>
      </c>
      <c r="D85" s="1" t="s">
        <v>17</v>
      </c>
      <c r="E85" s="1">
        <v>0.5</v>
      </c>
      <c r="F85" s="1" t="s">
        <v>20</v>
      </c>
      <c r="G85" s="1">
        <v>3</v>
      </c>
      <c r="H85" s="1">
        <v>6</v>
      </c>
      <c r="I85" s="1">
        <v>43</v>
      </c>
      <c r="J85" s="1" t="s">
        <v>21</v>
      </c>
      <c r="K85" s="1" t="s">
        <v>8</v>
      </c>
      <c r="L85" s="1">
        <v>29</v>
      </c>
      <c r="M85" s="1">
        <v>71</v>
      </c>
      <c r="N85" s="1">
        <v>0</v>
      </c>
      <c r="O85" s="1">
        <v>0</v>
      </c>
      <c r="P85" s="1">
        <v>0</v>
      </c>
      <c r="Q85">
        <f t="shared" si="6"/>
        <v>100</v>
      </c>
      <c r="R85" s="1">
        <f t="shared" si="7"/>
        <v>71</v>
      </c>
      <c r="S85" s="3">
        <f t="shared" si="8"/>
        <v>100</v>
      </c>
    </row>
    <row r="86" spans="1:19" x14ac:dyDescent="0.3">
      <c r="A86" s="1">
        <v>75</v>
      </c>
      <c r="B86" s="1" t="s">
        <v>24</v>
      </c>
      <c r="C86" s="1" t="s">
        <v>17</v>
      </c>
      <c r="D86" s="1" t="s">
        <v>17</v>
      </c>
      <c r="E86" s="1">
        <v>0.5</v>
      </c>
      <c r="F86" s="1" t="s">
        <v>20</v>
      </c>
      <c r="G86" s="1">
        <v>0.5</v>
      </c>
      <c r="H86" s="1">
        <v>8</v>
      </c>
      <c r="I86" s="1">
        <v>43</v>
      </c>
      <c r="J86" s="1" t="s">
        <v>21</v>
      </c>
      <c r="K86" s="1" t="s">
        <v>8</v>
      </c>
      <c r="L86" s="1">
        <v>16</v>
      </c>
      <c r="M86" s="1">
        <v>71</v>
      </c>
      <c r="N86" s="1">
        <v>1</v>
      </c>
      <c r="O86" s="1">
        <v>0</v>
      </c>
      <c r="P86" s="1">
        <v>0</v>
      </c>
      <c r="Q86">
        <f t="shared" si="6"/>
        <v>88</v>
      </c>
      <c r="R86" s="1">
        <f t="shared" si="7"/>
        <v>84</v>
      </c>
      <c r="S86" s="3">
        <f t="shared" si="8"/>
        <v>98.611111111111114</v>
      </c>
    </row>
    <row r="87" spans="1:19" x14ac:dyDescent="0.3">
      <c r="A87" s="1">
        <v>76</v>
      </c>
      <c r="B87" s="1" t="s">
        <v>26</v>
      </c>
      <c r="C87" s="1" t="s">
        <v>29</v>
      </c>
      <c r="D87" s="1">
        <v>50</v>
      </c>
      <c r="E87" s="1">
        <v>0.5</v>
      </c>
      <c r="F87" s="1" t="s">
        <v>20</v>
      </c>
      <c r="G87" s="1">
        <v>10</v>
      </c>
      <c r="H87" s="1">
        <v>17</v>
      </c>
      <c r="I87" s="1">
        <v>24</v>
      </c>
      <c r="J87" s="1" t="s">
        <v>21</v>
      </c>
      <c r="K87" s="1" t="s">
        <v>8</v>
      </c>
      <c r="L87" s="1">
        <v>0</v>
      </c>
      <c r="M87" s="1">
        <v>71</v>
      </c>
      <c r="N87" s="1">
        <v>24</v>
      </c>
      <c r="O87" s="1">
        <v>0</v>
      </c>
      <c r="P87" s="1">
        <v>0</v>
      </c>
      <c r="Q87">
        <f t="shared" si="6"/>
        <v>95</v>
      </c>
      <c r="R87" s="1">
        <f t="shared" si="7"/>
        <v>100</v>
      </c>
      <c r="S87" s="3">
        <f t="shared" si="8"/>
        <v>74.73684210526315</v>
      </c>
    </row>
    <row r="88" spans="1:19" x14ac:dyDescent="0.3">
      <c r="A88" s="1">
        <v>77</v>
      </c>
      <c r="B88" s="1" t="s">
        <v>31</v>
      </c>
      <c r="C88" s="1" t="s">
        <v>29</v>
      </c>
      <c r="D88" s="1">
        <v>50</v>
      </c>
      <c r="E88" s="1">
        <v>0.5</v>
      </c>
      <c r="F88" s="1" t="s">
        <v>20</v>
      </c>
      <c r="G88" s="1">
        <v>3</v>
      </c>
      <c r="H88" s="1">
        <v>16</v>
      </c>
      <c r="I88" s="1">
        <v>43</v>
      </c>
      <c r="J88" s="1" t="s">
        <v>21</v>
      </c>
      <c r="K88" s="1" t="s">
        <v>8</v>
      </c>
      <c r="L88" s="1">
        <v>0</v>
      </c>
      <c r="M88" s="1">
        <v>70</v>
      </c>
      <c r="N88" s="1">
        <v>27</v>
      </c>
      <c r="O88" s="1">
        <v>0</v>
      </c>
      <c r="P88" s="1">
        <v>0</v>
      </c>
      <c r="Q88">
        <f t="shared" si="6"/>
        <v>97</v>
      </c>
      <c r="R88" s="1">
        <f t="shared" si="7"/>
        <v>100</v>
      </c>
      <c r="S88" s="3">
        <f t="shared" si="8"/>
        <v>72.164948453608247</v>
      </c>
    </row>
    <row r="89" spans="1:19" x14ac:dyDescent="0.3">
      <c r="A89" s="1">
        <v>78</v>
      </c>
      <c r="B89" s="1" t="s">
        <v>26</v>
      </c>
      <c r="C89" s="1" t="s">
        <v>17</v>
      </c>
      <c r="D89" s="1" t="s">
        <v>17</v>
      </c>
      <c r="E89" s="1">
        <v>0.5</v>
      </c>
      <c r="F89" s="1" t="s">
        <v>20</v>
      </c>
      <c r="G89" s="1">
        <v>1</v>
      </c>
      <c r="H89" s="1">
        <v>6.5</v>
      </c>
      <c r="I89" s="1">
        <v>24</v>
      </c>
      <c r="J89" s="1" t="s">
        <v>27</v>
      </c>
      <c r="K89" s="1" t="s">
        <v>8</v>
      </c>
      <c r="L89" s="1">
        <v>26</v>
      </c>
      <c r="M89" s="1">
        <v>70</v>
      </c>
      <c r="N89" s="1">
        <v>1</v>
      </c>
      <c r="O89" s="1">
        <v>0</v>
      </c>
      <c r="P89" s="1">
        <v>0</v>
      </c>
      <c r="Q89">
        <f t="shared" si="6"/>
        <v>97</v>
      </c>
      <c r="R89" s="1">
        <f t="shared" si="7"/>
        <v>74</v>
      </c>
      <c r="S89" s="3">
        <f t="shared" si="8"/>
        <v>98.591549295774655</v>
      </c>
    </row>
    <row r="90" spans="1:19" x14ac:dyDescent="0.3">
      <c r="A90" s="1">
        <v>79</v>
      </c>
      <c r="B90" s="1" t="s">
        <v>24</v>
      </c>
      <c r="C90" s="1" t="s">
        <v>17</v>
      </c>
      <c r="D90" s="1" t="s">
        <v>17</v>
      </c>
      <c r="E90" s="1">
        <v>0.5</v>
      </c>
      <c r="F90" s="1" t="s">
        <v>20</v>
      </c>
      <c r="G90" s="1">
        <v>3</v>
      </c>
      <c r="H90" s="1">
        <v>8</v>
      </c>
      <c r="I90" s="1">
        <v>43</v>
      </c>
      <c r="J90" s="1" t="s">
        <v>21</v>
      </c>
      <c r="K90" s="1" t="s">
        <v>8</v>
      </c>
      <c r="L90" s="1">
        <v>23</v>
      </c>
      <c r="M90" s="1">
        <v>69</v>
      </c>
      <c r="N90" s="1">
        <v>1</v>
      </c>
      <c r="O90" s="1">
        <v>0</v>
      </c>
      <c r="P90" s="1">
        <v>0</v>
      </c>
      <c r="Q90">
        <f t="shared" si="6"/>
        <v>93</v>
      </c>
      <c r="R90" s="1">
        <f t="shared" si="7"/>
        <v>77</v>
      </c>
      <c r="S90" s="3">
        <f t="shared" si="8"/>
        <v>98.571428571428584</v>
      </c>
    </row>
    <row r="91" spans="1:19" x14ac:dyDescent="0.3">
      <c r="A91" s="1">
        <v>80</v>
      </c>
      <c r="B91" s="1" t="s">
        <v>31</v>
      </c>
      <c r="C91" s="1" t="s">
        <v>29</v>
      </c>
      <c r="D91" s="1">
        <v>10</v>
      </c>
      <c r="E91" s="1">
        <v>0.5</v>
      </c>
      <c r="F91" s="1" t="s">
        <v>20</v>
      </c>
      <c r="G91" s="1">
        <v>3</v>
      </c>
      <c r="H91" s="1">
        <v>16</v>
      </c>
      <c r="I91" s="1">
        <v>43</v>
      </c>
      <c r="J91" s="1" t="s">
        <v>21</v>
      </c>
      <c r="K91" s="1" t="s">
        <v>8</v>
      </c>
      <c r="L91" s="1">
        <v>0</v>
      </c>
      <c r="M91" s="1">
        <v>69</v>
      </c>
      <c r="N91" s="1">
        <v>24</v>
      </c>
      <c r="O91" s="1">
        <v>0</v>
      </c>
      <c r="P91" s="1">
        <v>0</v>
      </c>
      <c r="Q91">
        <f t="shared" si="6"/>
        <v>93</v>
      </c>
      <c r="R91" s="1">
        <f t="shared" si="7"/>
        <v>100</v>
      </c>
      <c r="S91" s="3">
        <f t="shared" si="8"/>
        <v>74.193548387096769</v>
      </c>
    </row>
    <row r="92" spans="1:19" x14ac:dyDescent="0.3">
      <c r="A92" s="1">
        <v>81</v>
      </c>
      <c r="B92" s="1" t="s">
        <v>31</v>
      </c>
      <c r="C92" s="1" t="s">
        <v>29</v>
      </c>
      <c r="D92" s="1">
        <v>25</v>
      </c>
      <c r="E92" s="1">
        <v>0.5</v>
      </c>
      <c r="F92" s="1" t="s">
        <v>20</v>
      </c>
      <c r="G92" s="1">
        <v>3</v>
      </c>
      <c r="H92" s="1">
        <v>16</v>
      </c>
      <c r="I92" s="1">
        <v>43</v>
      </c>
      <c r="J92" s="1" t="s">
        <v>21</v>
      </c>
      <c r="K92" s="1" t="s">
        <v>8</v>
      </c>
      <c r="L92" s="1">
        <v>0</v>
      </c>
      <c r="M92" s="1">
        <v>68</v>
      </c>
      <c r="N92" s="1">
        <v>30</v>
      </c>
      <c r="O92" s="1">
        <v>0</v>
      </c>
      <c r="P92" s="1">
        <v>0</v>
      </c>
      <c r="Q92">
        <f t="shared" si="6"/>
        <v>98</v>
      </c>
      <c r="R92" s="1">
        <f t="shared" si="7"/>
        <v>100</v>
      </c>
      <c r="S92" s="3">
        <f t="shared" si="8"/>
        <v>69.387755102040813</v>
      </c>
    </row>
    <row r="93" spans="1:19" x14ac:dyDescent="0.3">
      <c r="A93" s="1">
        <v>82</v>
      </c>
      <c r="B93" s="1" t="s">
        <v>26</v>
      </c>
      <c r="C93" s="1" t="s">
        <v>29</v>
      </c>
      <c r="D93" s="1">
        <v>50</v>
      </c>
      <c r="E93" s="1">
        <v>0.5</v>
      </c>
      <c r="F93" s="1" t="s">
        <v>20</v>
      </c>
      <c r="G93" s="1">
        <v>10</v>
      </c>
      <c r="H93" s="1">
        <v>12</v>
      </c>
      <c r="I93" s="1">
        <v>43</v>
      </c>
      <c r="J93" s="1" t="s">
        <v>21</v>
      </c>
      <c r="K93" s="1" t="s">
        <v>8</v>
      </c>
      <c r="L93" s="1">
        <v>0</v>
      </c>
      <c r="M93" s="1">
        <v>67</v>
      </c>
      <c r="N93" s="1">
        <v>24</v>
      </c>
      <c r="O93" s="1">
        <v>0</v>
      </c>
      <c r="P93" s="1">
        <v>0</v>
      </c>
      <c r="Q93">
        <f t="shared" si="6"/>
        <v>91</v>
      </c>
      <c r="R93" s="1">
        <f t="shared" si="7"/>
        <v>100</v>
      </c>
      <c r="S93" s="3">
        <f t="shared" si="8"/>
        <v>73.626373626373635</v>
      </c>
    </row>
    <row r="94" spans="1:19" x14ac:dyDescent="0.3">
      <c r="A94" s="1">
        <v>83</v>
      </c>
      <c r="B94" s="1" t="s">
        <v>26</v>
      </c>
      <c r="C94" s="1" t="s">
        <v>29</v>
      </c>
      <c r="D94" s="1">
        <v>50</v>
      </c>
      <c r="E94" s="1">
        <v>0.5</v>
      </c>
      <c r="F94" s="1" t="s">
        <v>20</v>
      </c>
      <c r="G94" s="1">
        <v>10</v>
      </c>
      <c r="H94" s="1">
        <v>16</v>
      </c>
      <c r="I94" s="1">
        <v>43</v>
      </c>
      <c r="J94" s="1" t="s">
        <v>21</v>
      </c>
      <c r="K94" s="1" t="s">
        <v>8</v>
      </c>
      <c r="L94" s="1">
        <v>0</v>
      </c>
      <c r="M94" s="1">
        <v>67</v>
      </c>
      <c r="N94" s="1">
        <v>25</v>
      </c>
      <c r="O94" s="1">
        <v>0</v>
      </c>
      <c r="P94" s="1">
        <v>0</v>
      </c>
      <c r="Q94">
        <f t="shared" si="6"/>
        <v>92</v>
      </c>
      <c r="R94" s="1">
        <f t="shared" si="7"/>
        <v>100</v>
      </c>
      <c r="S94" s="3">
        <f t="shared" si="8"/>
        <v>72.826086956521735</v>
      </c>
    </row>
    <row r="95" spans="1:19" x14ac:dyDescent="0.3">
      <c r="A95" s="1">
        <v>84</v>
      </c>
      <c r="B95" s="1" t="s">
        <v>31</v>
      </c>
      <c r="C95" s="1" t="s">
        <v>29</v>
      </c>
      <c r="D95" s="1">
        <v>25</v>
      </c>
      <c r="E95" s="1">
        <v>0.25</v>
      </c>
      <c r="F95" s="1" t="s">
        <v>20</v>
      </c>
      <c r="G95" s="1">
        <v>3</v>
      </c>
      <c r="H95" s="1">
        <v>16</v>
      </c>
      <c r="I95" s="1">
        <v>43</v>
      </c>
      <c r="J95" s="1" t="s">
        <v>21</v>
      </c>
      <c r="K95" s="1" t="s">
        <v>8</v>
      </c>
      <c r="L95" s="1">
        <v>0</v>
      </c>
      <c r="M95" s="1">
        <v>67</v>
      </c>
      <c r="N95" s="1">
        <v>30</v>
      </c>
      <c r="O95" s="1">
        <v>0</v>
      </c>
      <c r="P95" s="1">
        <v>0</v>
      </c>
      <c r="Q95">
        <f t="shared" si="6"/>
        <v>97</v>
      </c>
      <c r="R95" s="1">
        <f t="shared" si="7"/>
        <v>100</v>
      </c>
      <c r="S95" s="3">
        <f t="shared" si="8"/>
        <v>69.072164948453604</v>
      </c>
    </row>
    <row r="96" spans="1:19" x14ac:dyDescent="0.3">
      <c r="A96" s="1">
        <v>85</v>
      </c>
      <c r="B96" s="1" t="s">
        <v>31</v>
      </c>
      <c r="C96" s="1" t="s">
        <v>29</v>
      </c>
      <c r="D96" s="1">
        <v>50</v>
      </c>
      <c r="E96" s="1">
        <v>0.5</v>
      </c>
      <c r="F96" s="1" t="s">
        <v>20</v>
      </c>
      <c r="G96" s="1">
        <v>3</v>
      </c>
      <c r="H96" s="1">
        <v>24</v>
      </c>
      <c r="I96" s="1">
        <v>43</v>
      </c>
      <c r="J96" s="1" t="s">
        <v>21</v>
      </c>
      <c r="K96" s="1" t="s">
        <v>8</v>
      </c>
      <c r="L96" s="1">
        <v>0</v>
      </c>
      <c r="M96" s="1">
        <v>67</v>
      </c>
      <c r="N96" s="1">
        <v>34</v>
      </c>
      <c r="O96" s="1">
        <v>0</v>
      </c>
      <c r="P96" s="1">
        <v>0</v>
      </c>
      <c r="Q96">
        <f t="shared" si="6"/>
        <v>101</v>
      </c>
      <c r="R96" s="1">
        <f t="shared" si="7"/>
        <v>100</v>
      </c>
      <c r="S96" s="3">
        <f t="shared" si="8"/>
        <v>66.336633663366342</v>
      </c>
    </row>
    <row r="97" spans="1:19" x14ac:dyDescent="0.3">
      <c r="A97" s="1">
        <v>86</v>
      </c>
      <c r="B97" s="1" t="s">
        <v>23</v>
      </c>
      <c r="C97" s="1" t="s">
        <v>17</v>
      </c>
      <c r="D97" s="1" t="s">
        <v>17</v>
      </c>
      <c r="E97" s="1">
        <v>0.5</v>
      </c>
      <c r="F97" s="1" t="s">
        <v>20</v>
      </c>
      <c r="G97" s="1">
        <v>3</v>
      </c>
      <c r="H97" s="1">
        <v>24</v>
      </c>
      <c r="I97" s="1">
        <v>43</v>
      </c>
      <c r="J97" s="1" t="s">
        <v>21</v>
      </c>
      <c r="K97" s="1" t="s">
        <v>8</v>
      </c>
      <c r="L97" s="1">
        <v>0</v>
      </c>
      <c r="M97" s="1">
        <v>66</v>
      </c>
      <c r="N97" s="1">
        <v>21</v>
      </c>
      <c r="O97" s="1">
        <v>0</v>
      </c>
      <c r="P97" s="1">
        <v>0</v>
      </c>
      <c r="Q97">
        <f t="shared" si="6"/>
        <v>87</v>
      </c>
      <c r="R97" s="1">
        <f t="shared" si="7"/>
        <v>100</v>
      </c>
      <c r="S97" s="3">
        <f t="shared" si="8"/>
        <v>75.862068965517238</v>
      </c>
    </row>
    <row r="98" spans="1:19" x14ac:dyDescent="0.3">
      <c r="A98" s="1">
        <v>87</v>
      </c>
      <c r="B98" s="1" t="s">
        <v>31</v>
      </c>
      <c r="C98" s="1" t="s">
        <v>29</v>
      </c>
      <c r="D98" s="1">
        <v>50</v>
      </c>
      <c r="E98" s="1">
        <v>0.25</v>
      </c>
      <c r="F98" s="1" t="s">
        <v>20</v>
      </c>
      <c r="G98" s="1">
        <v>3</v>
      </c>
      <c r="H98" s="1">
        <v>16</v>
      </c>
      <c r="I98" s="1">
        <v>43</v>
      </c>
      <c r="J98" s="1" t="s">
        <v>21</v>
      </c>
      <c r="K98" s="1" t="s">
        <v>8</v>
      </c>
      <c r="L98" s="1">
        <v>0</v>
      </c>
      <c r="M98" s="1">
        <v>66</v>
      </c>
      <c r="N98" s="1">
        <v>28</v>
      </c>
      <c r="O98" s="1">
        <v>0</v>
      </c>
      <c r="P98" s="1">
        <v>0</v>
      </c>
      <c r="Q98">
        <f t="shared" si="6"/>
        <v>94</v>
      </c>
      <c r="R98" s="1">
        <f t="shared" si="7"/>
        <v>100</v>
      </c>
      <c r="S98" s="3">
        <f t="shared" si="8"/>
        <v>70.212765957446805</v>
      </c>
    </row>
    <row r="99" spans="1:19" x14ac:dyDescent="0.3">
      <c r="A99" s="1">
        <v>88</v>
      </c>
      <c r="B99" s="1" t="s">
        <v>33</v>
      </c>
      <c r="C99" s="1" t="s">
        <v>29</v>
      </c>
      <c r="D99" s="1">
        <v>75</v>
      </c>
      <c r="E99" s="1">
        <v>0.25</v>
      </c>
      <c r="F99" s="1" t="s">
        <v>20</v>
      </c>
      <c r="G99" s="1">
        <v>10</v>
      </c>
      <c r="H99" s="1">
        <v>12</v>
      </c>
      <c r="I99" s="1">
        <v>24</v>
      </c>
      <c r="J99" s="1" t="s">
        <v>21</v>
      </c>
      <c r="K99" s="1" t="s">
        <v>8</v>
      </c>
      <c r="L99" s="1">
        <v>4</v>
      </c>
      <c r="M99" s="1">
        <v>66</v>
      </c>
      <c r="N99" s="1">
        <v>22</v>
      </c>
      <c r="O99" s="1">
        <v>0</v>
      </c>
      <c r="P99" s="1">
        <v>0</v>
      </c>
      <c r="Q99">
        <f t="shared" si="6"/>
        <v>92</v>
      </c>
      <c r="R99" s="1">
        <f t="shared" si="7"/>
        <v>96</v>
      </c>
      <c r="S99" s="3">
        <f t="shared" si="8"/>
        <v>75</v>
      </c>
    </row>
    <row r="100" spans="1:19" x14ac:dyDescent="0.3">
      <c r="A100" s="1">
        <v>89</v>
      </c>
      <c r="B100" s="1" t="s">
        <v>26</v>
      </c>
      <c r="C100" s="1" t="s">
        <v>29</v>
      </c>
      <c r="D100" s="1">
        <v>50</v>
      </c>
      <c r="E100" s="1">
        <v>0.5</v>
      </c>
      <c r="F100" s="1" t="s">
        <v>20</v>
      </c>
      <c r="G100" s="1">
        <v>3</v>
      </c>
      <c r="H100" s="1">
        <v>16</v>
      </c>
      <c r="I100" s="1">
        <v>43</v>
      </c>
      <c r="J100" s="1" t="s">
        <v>21</v>
      </c>
      <c r="K100" s="1" t="s">
        <v>8</v>
      </c>
      <c r="L100" s="1">
        <v>0</v>
      </c>
      <c r="M100" s="1">
        <v>65</v>
      </c>
      <c r="N100" s="1">
        <v>27</v>
      </c>
      <c r="O100" s="1">
        <v>0</v>
      </c>
      <c r="P100" s="1">
        <v>0</v>
      </c>
      <c r="Q100">
        <f t="shared" si="6"/>
        <v>92</v>
      </c>
      <c r="R100" s="1">
        <f t="shared" si="7"/>
        <v>100</v>
      </c>
      <c r="S100" s="3">
        <f t="shared" si="8"/>
        <v>70.652173913043484</v>
      </c>
    </row>
    <row r="101" spans="1:19" x14ac:dyDescent="0.3">
      <c r="A101" s="1">
        <v>90</v>
      </c>
      <c r="B101" s="1" t="s">
        <v>26</v>
      </c>
      <c r="C101" s="1" t="s">
        <v>29</v>
      </c>
      <c r="D101" s="1">
        <v>50</v>
      </c>
      <c r="E101" s="1">
        <v>0.5</v>
      </c>
      <c r="F101" s="1" t="s">
        <v>20</v>
      </c>
      <c r="G101" s="1">
        <v>3</v>
      </c>
      <c r="H101" s="1">
        <v>24</v>
      </c>
      <c r="I101" s="1">
        <v>43</v>
      </c>
      <c r="J101" s="1" t="s">
        <v>21</v>
      </c>
      <c r="K101" s="1" t="s">
        <v>8</v>
      </c>
      <c r="L101" s="1">
        <v>0</v>
      </c>
      <c r="M101" s="1">
        <v>65</v>
      </c>
      <c r="N101" s="1">
        <v>27</v>
      </c>
      <c r="O101" s="1">
        <v>0</v>
      </c>
      <c r="P101" s="1">
        <v>0</v>
      </c>
      <c r="Q101">
        <f t="shared" si="6"/>
        <v>92</v>
      </c>
      <c r="R101" s="1">
        <f t="shared" si="7"/>
        <v>100</v>
      </c>
      <c r="S101" s="3">
        <f t="shared" si="8"/>
        <v>70.652173913043484</v>
      </c>
    </row>
    <row r="102" spans="1:19" x14ac:dyDescent="0.3">
      <c r="A102" s="1">
        <v>91</v>
      </c>
      <c r="B102" s="1" t="s">
        <v>26</v>
      </c>
      <c r="C102" s="1" t="s">
        <v>29</v>
      </c>
      <c r="D102" s="1">
        <v>50</v>
      </c>
      <c r="E102" s="1">
        <v>0.5</v>
      </c>
      <c r="F102" s="1" t="s">
        <v>20</v>
      </c>
      <c r="G102" s="1">
        <v>3</v>
      </c>
      <c r="H102" s="1">
        <v>24</v>
      </c>
      <c r="I102" s="1">
        <v>43</v>
      </c>
      <c r="J102" s="1" t="s">
        <v>21</v>
      </c>
      <c r="K102" s="1" t="s">
        <v>8</v>
      </c>
      <c r="L102" s="1">
        <v>0</v>
      </c>
      <c r="M102" s="1">
        <v>65</v>
      </c>
      <c r="N102" s="1">
        <v>27</v>
      </c>
      <c r="O102" s="1">
        <v>0</v>
      </c>
      <c r="P102" s="1">
        <v>0</v>
      </c>
      <c r="Q102">
        <f t="shared" si="6"/>
        <v>92</v>
      </c>
      <c r="R102" s="1">
        <f t="shared" si="7"/>
        <v>100</v>
      </c>
      <c r="S102" s="3">
        <f t="shared" si="8"/>
        <v>70.652173913043484</v>
      </c>
    </row>
    <row r="103" spans="1:19" x14ac:dyDescent="0.3">
      <c r="A103" s="1">
        <v>92</v>
      </c>
      <c r="B103" s="1" t="s">
        <v>33</v>
      </c>
      <c r="C103" s="1" t="s">
        <v>29</v>
      </c>
      <c r="D103" s="1">
        <v>75</v>
      </c>
      <c r="E103" s="1">
        <v>0.1</v>
      </c>
      <c r="F103" s="1" t="s">
        <v>20</v>
      </c>
      <c r="G103" s="1">
        <v>10</v>
      </c>
      <c r="H103" s="1">
        <v>12</v>
      </c>
      <c r="I103" s="1">
        <v>24</v>
      </c>
      <c r="J103" s="1" t="s">
        <v>21</v>
      </c>
      <c r="K103" s="1" t="s">
        <v>8</v>
      </c>
      <c r="L103" s="1">
        <v>0</v>
      </c>
      <c r="M103" s="1">
        <v>65</v>
      </c>
      <c r="N103" s="1">
        <v>33</v>
      </c>
      <c r="O103" s="1">
        <v>0</v>
      </c>
      <c r="P103" s="1">
        <v>0</v>
      </c>
      <c r="Q103">
        <f t="shared" si="6"/>
        <v>98</v>
      </c>
      <c r="R103" s="1">
        <f t="shared" si="7"/>
        <v>100</v>
      </c>
      <c r="S103" s="3">
        <f t="shared" si="8"/>
        <v>66.326530612244895</v>
      </c>
    </row>
    <row r="104" spans="1:19" x14ac:dyDescent="0.3">
      <c r="A104" s="1">
        <v>93</v>
      </c>
      <c r="B104" s="1" t="s">
        <v>26</v>
      </c>
      <c r="C104" s="1" t="s">
        <v>29</v>
      </c>
      <c r="D104" s="1">
        <v>50</v>
      </c>
      <c r="E104" s="1">
        <v>0.5</v>
      </c>
      <c r="F104" s="1" t="s">
        <v>20</v>
      </c>
      <c r="G104" s="1">
        <v>10</v>
      </c>
      <c r="H104" s="1">
        <v>20</v>
      </c>
      <c r="I104" s="1">
        <v>43</v>
      </c>
      <c r="J104" s="1" t="s">
        <v>21</v>
      </c>
      <c r="K104" s="1" t="s">
        <v>8</v>
      </c>
      <c r="L104" s="1">
        <v>0</v>
      </c>
      <c r="M104" s="1">
        <v>64</v>
      </c>
      <c r="N104" s="1">
        <v>23</v>
      </c>
      <c r="O104" s="1">
        <v>0</v>
      </c>
      <c r="P104" s="1">
        <v>0</v>
      </c>
      <c r="Q104">
        <f t="shared" si="6"/>
        <v>87</v>
      </c>
      <c r="R104" s="1">
        <f t="shared" si="7"/>
        <v>100</v>
      </c>
      <c r="S104" s="3">
        <f t="shared" si="8"/>
        <v>73.563218390804593</v>
      </c>
    </row>
    <row r="105" spans="1:19" x14ac:dyDescent="0.3">
      <c r="A105" s="1">
        <v>94</v>
      </c>
      <c r="B105" s="1" t="s">
        <v>16</v>
      </c>
      <c r="C105" s="1" t="s">
        <v>17</v>
      </c>
      <c r="D105" s="1" t="s">
        <v>17</v>
      </c>
      <c r="E105" s="1">
        <v>0.5</v>
      </c>
      <c r="F105" s="1" t="s">
        <v>20</v>
      </c>
      <c r="G105" s="1">
        <v>3</v>
      </c>
      <c r="H105" s="1">
        <v>16</v>
      </c>
      <c r="I105" s="1">
        <v>24</v>
      </c>
      <c r="J105" s="1" t="s">
        <v>21</v>
      </c>
      <c r="K105" s="1" t="s">
        <v>8</v>
      </c>
      <c r="L105" s="1">
        <v>0</v>
      </c>
      <c r="M105" s="1">
        <v>64</v>
      </c>
      <c r="N105" s="1">
        <v>34</v>
      </c>
      <c r="O105" s="1">
        <v>0</v>
      </c>
      <c r="P105" s="1">
        <v>0</v>
      </c>
      <c r="Q105">
        <f t="shared" si="6"/>
        <v>98</v>
      </c>
      <c r="R105" s="1">
        <f t="shared" si="7"/>
        <v>100</v>
      </c>
      <c r="S105" s="3">
        <f t="shared" si="8"/>
        <v>65.306122448979593</v>
      </c>
    </row>
    <row r="106" spans="1:19" x14ac:dyDescent="0.3">
      <c r="A106" s="1">
        <v>95</v>
      </c>
      <c r="B106" s="1" t="s">
        <v>31</v>
      </c>
      <c r="C106" s="1" t="s">
        <v>29</v>
      </c>
      <c r="D106" s="1">
        <v>50</v>
      </c>
      <c r="E106" s="1">
        <v>1</v>
      </c>
      <c r="F106" s="1" t="s">
        <v>20</v>
      </c>
      <c r="G106" s="1">
        <v>3</v>
      </c>
      <c r="H106" s="1">
        <v>24</v>
      </c>
      <c r="I106" s="1">
        <v>43</v>
      </c>
      <c r="J106" s="1" t="s">
        <v>21</v>
      </c>
      <c r="K106" s="1" t="s">
        <v>8</v>
      </c>
      <c r="L106" s="1">
        <v>0</v>
      </c>
      <c r="M106" s="1">
        <v>64</v>
      </c>
      <c r="N106" s="1">
        <v>33</v>
      </c>
      <c r="O106" s="1">
        <v>0</v>
      </c>
      <c r="P106" s="1">
        <v>0</v>
      </c>
      <c r="Q106">
        <f t="shared" si="6"/>
        <v>97</v>
      </c>
      <c r="R106" s="1">
        <f t="shared" si="7"/>
        <v>100</v>
      </c>
      <c r="S106" s="3">
        <f t="shared" si="8"/>
        <v>65.979381443298962</v>
      </c>
    </row>
    <row r="107" spans="1:19" x14ac:dyDescent="0.3">
      <c r="A107" s="1">
        <v>96</v>
      </c>
      <c r="B107" s="1" t="s">
        <v>26</v>
      </c>
      <c r="C107" s="1" t="s">
        <v>29</v>
      </c>
      <c r="D107" s="1">
        <v>50</v>
      </c>
      <c r="E107" s="1">
        <v>0.5</v>
      </c>
      <c r="F107" s="1" t="s">
        <v>20</v>
      </c>
      <c r="G107" s="1">
        <v>10</v>
      </c>
      <c r="H107" s="1">
        <v>48</v>
      </c>
      <c r="I107" s="1">
        <v>43</v>
      </c>
      <c r="J107" s="1" t="s">
        <v>21</v>
      </c>
      <c r="K107" s="1" t="s">
        <v>8</v>
      </c>
      <c r="L107" s="1">
        <v>0</v>
      </c>
      <c r="M107" s="1">
        <v>63</v>
      </c>
      <c r="N107" s="1">
        <v>45</v>
      </c>
      <c r="O107" s="1">
        <v>0</v>
      </c>
      <c r="P107" s="1">
        <v>0</v>
      </c>
      <c r="Q107">
        <f t="shared" si="6"/>
        <v>108</v>
      </c>
      <c r="R107" s="1">
        <f t="shared" si="7"/>
        <v>100</v>
      </c>
      <c r="S107" s="3">
        <f t="shared" si="8"/>
        <v>58.333333333333336</v>
      </c>
    </row>
    <row r="108" spans="1:19" x14ac:dyDescent="0.3">
      <c r="A108" s="1">
        <v>97</v>
      </c>
      <c r="B108" s="1" t="s">
        <v>31</v>
      </c>
      <c r="C108" s="1" t="s">
        <v>29</v>
      </c>
      <c r="D108" s="1">
        <v>75</v>
      </c>
      <c r="E108" s="1">
        <v>0.25</v>
      </c>
      <c r="F108" s="1" t="s">
        <v>20</v>
      </c>
      <c r="G108" s="1">
        <v>3</v>
      </c>
      <c r="H108" s="1">
        <v>16</v>
      </c>
      <c r="I108" s="1">
        <v>43</v>
      </c>
      <c r="J108" s="1" t="s">
        <v>21</v>
      </c>
      <c r="K108" s="1" t="s">
        <v>8</v>
      </c>
      <c r="L108" s="1">
        <v>0</v>
      </c>
      <c r="M108" s="1">
        <v>63</v>
      </c>
      <c r="N108" s="1">
        <v>30</v>
      </c>
      <c r="O108" s="1">
        <v>0</v>
      </c>
      <c r="P108" s="1">
        <v>0</v>
      </c>
      <c r="Q108">
        <f t="shared" ref="Q108:Q139" si="9">L108+M108+N108+O108+P108</f>
        <v>93</v>
      </c>
      <c r="R108" s="1">
        <f t="shared" ref="R108:R127" si="10">100-L108</f>
        <v>100</v>
      </c>
      <c r="S108" s="3">
        <f t="shared" ref="S108:S127" si="11">(M108/(M108+N108))*100</f>
        <v>67.741935483870961</v>
      </c>
    </row>
    <row r="109" spans="1:19" x14ac:dyDescent="0.3">
      <c r="A109" s="1">
        <v>98</v>
      </c>
      <c r="B109" s="1" t="s">
        <v>31</v>
      </c>
      <c r="C109" s="1" t="s">
        <v>29</v>
      </c>
      <c r="D109" s="1">
        <v>50</v>
      </c>
      <c r="E109" s="1">
        <v>0.5</v>
      </c>
      <c r="F109" s="1" t="s">
        <v>20</v>
      </c>
      <c r="G109" s="1">
        <v>3</v>
      </c>
      <c r="H109" s="1">
        <v>48</v>
      </c>
      <c r="I109" s="1">
        <v>43</v>
      </c>
      <c r="J109" s="1" t="s">
        <v>21</v>
      </c>
      <c r="K109" s="1" t="s">
        <v>8</v>
      </c>
      <c r="L109" s="1">
        <v>0</v>
      </c>
      <c r="M109" s="1">
        <v>63</v>
      </c>
      <c r="N109" s="1">
        <v>45</v>
      </c>
      <c r="O109" s="1">
        <v>0</v>
      </c>
      <c r="P109" s="1">
        <v>0</v>
      </c>
      <c r="Q109">
        <f t="shared" si="9"/>
        <v>108</v>
      </c>
      <c r="R109" s="1">
        <f t="shared" si="10"/>
        <v>100</v>
      </c>
      <c r="S109" s="3">
        <f t="shared" si="11"/>
        <v>58.333333333333336</v>
      </c>
    </row>
    <row r="110" spans="1:19" x14ac:dyDescent="0.3">
      <c r="A110" s="1">
        <v>99</v>
      </c>
      <c r="B110" s="1" t="s">
        <v>26</v>
      </c>
      <c r="C110" s="1" t="s">
        <v>17</v>
      </c>
      <c r="D110" s="1" t="s">
        <v>17</v>
      </c>
      <c r="E110" s="1">
        <v>0.5</v>
      </c>
      <c r="F110" s="1" t="s">
        <v>20</v>
      </c>
      <c r="G110" s="1">
        <v>3</v>
      </c>
      <c r="H110" s="1">
        <v>4</v>
      </c>
      <c r="I110" s="1">
        <v>24</v>
      </c>
      <c r="J110" s="1" t="s">
        <v>27</v>
      </c>
      <c r="K110" s="1" t="s">
        <v>8</v>
      </c>
      <c r="L110" s="1">
        <v>39</v>
      </c>
      <c r="M110" s="1">
        <v>63</v>
      </c>
      <c r="N110" s="1">
        <v>1</v>
      </c>
      <c r="O110" s="1">
        <v>0</v>
      </c>
      <c r="P110" s="1">
        <v>0</v>
      </c>
      <c r="Q110">
        <f t="shared" si="9"/>
        <v>103</v>
      </c>
      <c r="R110" s="1">
        <f t="shared" si="10"/>
        <v>61</v>
      </c>
      <c r="S110" s="3">
        <f t="shared" si="11"/>
        <v>98.4375</v>
      </c>
    </row>
    <row r="111" spans="1:19" x14ac:dyDescent="0.3">
      <c r="A111" s="1">
        <v>100</v>
      </c>
      <c r="B111" s="1" t="s">
        <v>26</v>
      </c>
      <c r="C111" s="1" t="s">
        <v>17</v>
      </c>
      <c r="D111" s="1" t="s">
        <v>17</v>
      </c>
      <c r="E111" s="1">
        <v>1</v>
      </c>
      <c r="F111" s="1" t="s">
        <v>20</v>
      </c>
      <c r="G111" s="1">
        <v>1</v>
      </c>
      <c r="H111" s="1">
        <v>6.5</v>
      </c>
      <c r="I111" s="1">
        <v>24</v>
      </c>
      <c r="J111" s="1" t="s">
        <v>27</v>
      </c>
      <c r="K111" s="1" t="s">
        <v>8</v>
      </c>
      <c r="L111" s="1">
        <v>37</v>
      </c>
      <c r="M111" s="1">
        <v>63</v>
      </c>
      <c r="N111" s="1">
        <v>1</v>
      </c>
      <c r="O111" s="1">
        <v>0</v>
      </c>
      <c r="P111" s="1">
        <v>0</v>
      </c>
      <c r="Q111">
        <f t="shared" si="9"/>
        <v>101</v>
      </c>
      <c r="R111" s="1">
        <f t="shared" si="10"/>
        <v>63</v>
      </c>
      <c r="S111" s="3">
        <f t="shared" si="11"/>
        <v>98.4375</v>
      </c>
    </row>
    <row r="112" spans="1:19" x14ac:dyDescent="0.3">
      <c r="A112" s="1">
        <v>101</v>
      </c>
      <c r="B112" s="1" t="s">
        <v>26</v>
      </c>
      <c r="C112" s="1" t="s">
        <v>35</v>
      </c>
      <c r="D112" s="1">
        <v>75</v>
      </c>
      <c r="E112" s="1">
        <v>0.5</v>
      </c>
      <c r="F112" s="1" t="s">
        <v>20</v>
      </c>
      <c r="G112" s="1">
        <v>3</v>
      </c>
      <c r="H112" s="1">
        <v>17</v>
      </c>
      <c r="I112" s="1">
        <v>24</v>
      </c>
      <c r="J112" s="1" t="s">
        <v>21</v>
      </c>
      <c r="K112" s="1" t="s">
        <v>8</v>
      </c>
      <c r="L112" s="1">
        <v>0</v>
      </c>
      <c r="M112" s="1">
        <v>62</v>
      </c>
      <c r="N112" s="1">
        <v>20</v>
      </c>
      <c r="O112" s="1">
        <v>0</v>
      </c>
      <c r="P112" s="1">
        <v>0</v>
      </c>
      <c r="Q112">
        <f t="shared" si="9"/>
        <v>82</v>
      </c>
      <c r="R112" s="1">
        <f t="shared" si="10"/>
        <v>100</v>
      </c>
      <c r="S112" s="3">
        <f t="shared" si="11"/>
        <v>75.609756097560975</v>
      </c>
    </row>
    <row r="113" spans="1:19" x14ac:dyDescent="0.3">
      <c r="A113" s="1">
        <v>102</v>
      </c>
      <c r="B113" s="1" t="s">
        <v>16</v>
      </c>
      <c r="C113" s="1" t="s">
        <v>17</v>
      </c>
      <c r="D113" s="1" t="s">
        <v>17</v>
      </c>
      <c r="E113" s="1">
        <v>0.5</v>
      </c>
      <c r="F113" s="1" t="s">
        <v>20</v>
      </c>
      <c r="G113" s="1">
        <v>3</v>
      </c>
      <c r="H113" s="1">
        <v>12</v>
      </c>
      <c r="I113" s="1">
        <v>24</v>
      </c>
      <c r="J113" s="1" t="s">
        <v>21</v>
      </c>
      <c r="K113" s="1" t="s">
        <v>8</v>
      </c>
      <c r="L113" s="1">
        <v>0</v>
      </c>
      <c r="M113" s="1">
        <v>62</v>
      </c>
      <c r="N113" s="1">
        <v>34</v>
      </c>
      <c r="O113" s="1">
        <v>0</v>
      </c>
      <c r="P113" s="1">
        <v>0</v>
      </c>
      <c r="Q113">
        <f t="shared" si="9"/>
        <v>96</v>
      </c>
      <c r="R113" s="1">
        <f t="shared" si="10"/>
        <v>100</v>
      </c>
      <c r="S113" s="3">
        <f t="shared" si="11"/>
        <v>64.583333333333343</v>
      </c>
    </row>
    <row r="114" spans="1:19" x14ac:dyDescent="0.3">
      <c r="A114" s="1">
        <v>103</v>
      </c>
      <c r="B114" s="1" t="s">
        <v>31</v>
      </c>
      <c r="C114" s="1" t="s">
        <v>17</v>
      </c>
      <c r="D114" s="1" t="s">
        <v>17</v>
      </c>
      <c r="E114" s="1">
        <v>0.5</v>
      </c>
      <c r="F114" s="1" t="s">
        <v>20</v>
      </c>
      <c r="G114" s="1">
        <v>10</v>
      </c>
      <c r="H114" s="1">
        <v>48</v>
      </c>
      <c r="I114" s="1">
        <v>43</v>
      </c>
      <c r="J114" s="1" t="s">
        <v>21</v>
      </c>
      <c r="K114" s="1" t="s">
        <v>8</v>
      </c>
      <c r="L114" s="1">
        <v>0</v>
      </c>
      <c r="M114" s="1">
        <v>56</v>
      </c>
      <c r="N114" s="1">
        <v>49</v>
      </c>
      <c r="O114" s="1">
        <v>0</v>
      </c>
      <c r="P114" s="1">
        <v>0</v>
      </c>
      <c r="Q114">
        <f t="shared" si="9"/>
        <v>105</v>
      </c>
      <c r="R114" s="1">
        <f t="shared" si="10"/>
        <v>100</v>
      </c>
      <c r="S114" s="3">
        <f t="shared" si="11"/>
        <v>53.333333333333336</v>
      </c>
    </row>
    <row r="115" spans="1:19" x14ac:dyDescent="0.3">
      <c r="A115" s="1">
        <v>104</v>
      </c>
      <c r="B115" s="1" t="s">
        <v>23</v>
      </c>
      <c r="C115" s="1" t="s">
        <v>17</v>
      </c>
      <c r="D115" s="1" t="s">
        <v>17</v>
      </c>
      <c r="E115" s="1">
        <v>0.5</v>
      </c>
      <c r="F115" s="1" t="s">
        <v>20</v>
      </c>
      <c r="G115" s="1">
        <v>3</v>
      </c>
      <c r="H115" s="1">
        <v>17</v>
      </c>
      <c r="I115" s="1">
        <v>43</v>
      </c>
      <c r="J115" s="1" t="s">
        <v>21</v>
      </c>
      <c r="K115" s="1" t="s">
        <v>8</v>
      </c>
      <c r="L115" s="1">
        <v>0</v>
      </c>
      <c r="M115" s="1">
        <v>52</v>
      </c>
      <c r="N115" s="1">
        <v>21</v>
      </c>
      <c r="O115" s="1">
        <v>0</v>
      </c>
      <c r="P115" s="1">
        <v>22</v>
      </c>
      <c r="Q115">
        <f t="shared" si="9"/>
        <v>95</v>
      </c>
      <c r="R115" s="1">
        <f t="shared" si="10"/>
        <v>100</v>
      </c>
      <c r="S115" s="3">
        <f t="shared" si="11"/>
        <v>71.232876712328761</v>
      </c>
    </row>
    <row r="116" spans="1:19" x14ac:dyDescent="0.3">
      <c r="A116" s="1">
        <v>105</v>
      </c>
      <c r="B116" s="1" t="s">
        <v>16</v>
      </c>
      <c r="C116" s="1" t="s">
        <v>17</v>
      </c>
      <c r="D116" s="1" t="s">
        <v>17</v>
      </c>
      <c r="E116" s="1">
        <v>0.5</v>
      </c>
      <c r="F116" s="1" t="s">
        <v>20</v>
      </c>
      <c r="G116" s="1">
        <v>3</v>
      </c>
      <c r="H116" s="1">
        <v>16</v>
      </c>
      <c r="I116" s="1">
        <v>43</v>
      </c>
      <c r="J116" s="1" t="s">
        <v>21</v>
      </c>
      <c r="K116" s="1" t="s">
        <v>8</v>
      </c>
      <c r="L116" s="1">
        <v>0</v>
      </c>
      <c r="M116" s="1">
        <v>51</v>
      </c>
      <c r="N116" s="1">
        <v>41</v>
      </c>
      <c r="O116" s="1">
        <v>0</v>
      </c>
      <c r="P116" s="1">
        <v>0</v>
      </c>
      <c r="Q116">
        <f t="shared" si="9"/>
        <v>92</v>
      </c>
      <c r="R116" s="1">
        <f t="shared" si="10"/>
        <v>100</v>
      </c>
      <c r="S116" s="3">
        <f t="shared" si="11"/>
        <v>55.434782608695656</v>
      </c>
    </row>
    <row r="117" spans="1:19" x14ac:dyDescent="0.3">
      <c r="A117" s="1">
        <v>106</v>
      </c>
      <c r="B117" s="1" t="s">
        <v>26</v>
      </c>
      <c r="C117" s="1" t="s">
        <v>24</v>
      </c>
      <c r="D117" s="1">
        <v>50</v>
      </c>
      <c r="E117" s="1">
        <v>0.5</v>
      </c>
      <c r="F117" s="1" t="s">
        <v>20</v>
      </c>
      <c r="G117" s="1">
        <v>3</v>
      </c>
      <c r="H117" s="1">
        <v>4</v>
      </c>
      <c r="I117" s="1">
        <v>24</v>
      </c>
      <c r="J117" s="1" t="s">
        <v>27</v>
      </c>
      <c r="K117" s="1" t="s">
        <v>8</v>
      </c>
      <c r="L117" s="1">
        <v>52</v>
      </c>
      <c r="M117" s="1">
        <v>44</v>
      </c>
      <c r="N117" s="1">
        <v>0</v>
      </c>
      <c r="O117" s="1">
        <v>0</v>
      </c>
      <c r="P117" s="1">
        <v>0</v>
      </c>
      <c r="Q117">
        <f t="shared" si="9"/>
        <v>96</v>
      </c>
      <c r="R117" s="1">
        <f t="shared" si="10"/>
        <v>48</v>
      </c>
      <c r="S117" s="3">
        <f t="shared" si="11"/>
        <v>100</v>
      </c>
    </row>
    <row r="118" spans="1:19" x14ac:dyDescent="0.3">
      <c r="A118" s="1">
        <v>107</v>
      </c>
      <c r="B118" s="1" t="s">
        <v>29</v>
      </c>
      <c r="C118" s="1" t="s">
        <v>17</v>
      </c>
      <c r="D118" s="1" t="s">
        <v>17</v>
      </c>
      <c r="E118" s="1">
        <v>0.5</v>
      </c>
      <c r="F118" s="1" t="s">
        <v>20</v>
      </c>
      <c r="G118" s="1">
        <v>3</v>
      </c>
      <c r="H118" s="1">
        <v>8</v>
      </c>
      <c r="I118" s="1">
        <v>24</v>
      </c>
      <c r="J118" s="1" t="s">
        <v>21</v>
      </c>
      <c r="K118" s="1" t="s">
        <v>8</v>
      </c>
      <c r="L118" s="1">
        <v>40</v>
      </c>
      <c r="M118" s="1">
        <v>42</v>
      </c>
      <c r="N118" s="1">
        <v>0</v>
      </c>
      <c r="O118" s="1">
        <v>0</v>
      </c>
      <c r="P118" s="1">
        <v>0</v>
      </c>
      <c r="Q118">
        <f t="shared" si="9"/>
        <v>82</v>
      </c>
      <c r="R118" s="1">
        <f t="shared" si="10"/>
        <v>60</v>
      </c>
      <c r="S118" s="3">
        <f t="shared" si="11"/>
        <v>100</v>
      </c>
    </row>
    <row r="119" spans="1:19" x14ac:dyDescent="0.3">
      <c r="A119" s="1">
        <v>108</v>
      </c>
      <c r="B119" s="1" t="s">
        <v>24</v>
      </c>
      <c r="C119" s="1" t="s">
        <v>17</v>
      </c>
      <c r="D119" s="1" t="s">
        <v>17</v>
      </c>
      <c r="E119" s="1">
        <v>0.5</v>
      </c>
      <c r="F119" s="1" t="s">
        <v>20</v>
      </c>
      <c r="G119" s="1">
        <v>1</v>
      </c>
      <c r="H119" s="1">
        <v>9</v>
      </c>
      <c r="I119" s="1">
        <v>43</v>
      </c>
      <c r="J119" s="1" t="s">
        <v>27</v>
      </c>
      <c r="K119" s="1" t="s">
        <v>9</v>
      </c>
      <c r="L119" s="1">
        <v>62</v>
      </c>
      <c r="M119" s="1">
        <v>35</v>
      </c>
      <c r="N119" s="1">
        <v>0</v>
      </c>
      <c r="O119" s="1">
        <v>0</v>
      </c>
      <c r="P119" s="1">
        <v>0</v>
      </c>
      <c r="Q119">
        <f t="shared" si="9"/>
        <v>97</v>
      </c>
      <c r="R119" s="1">
        <f t="shared" si="10"/>
        <v>38</v>
      </c>
      <c r="S119" s="3">
        <f t="shared" si="11"/>
        <v>100</v>
      </c>
    </row>
    <row r="120" spans="1:19" x14ac:dyDescent="0.3">
      <c r="A120" s="1">
        <v>109</v>
      </c>
      <c r="B120" s="1" t="s">
        <v>16</v>
      </c>
      <c r="C120" s="1" t="s">
        <v>24</v>
      </c>
      <c r="D120" s="2">
        <v>50</v>
      </c>
      <c r="E120" s="1">
        <v>0.5</v>
      </c>
      <c r="F120" s="1" t="s">
        <v>20</v>
      </c>
      <c r="G120" s="1">
        <v>3</v>
      </c>
      <c r="H120" s="1">
        <v>17</v>
      </c>
      <c r="I120" s="1">
        <v>43</v>
      </c>
      <c r="J120" s="1" t="s">
        <v>21</v>
      </c>
      <c r="K120" s="1" t="s">
        <v>9</v>
      </c>
      <c r="L120" s="1">
        <v>0</v>
      </c>
      <c r="M120" s="1">
        <v>28</v>
      </c>
      <c r="N120" s="1">
        <v>50</v>
      </c>
      <c r="O120" s="1">
        <v>0</v>
      </c>
      <c r="P120" s="1">
        <v>0</v>
      </c>
      <c r="Q120">
        <f t="shared" si="9"/>
        <v>78</v>
      </c>
      <c r="R120" s="1">
        <f t="shared" si="10"/>
        <v>100</v>
      </c>
      <c r="S120" s="3">
        <f t="shared" si="11"/>
        <v>35.897435897435898</v>
      </c>
    </row>
    <row r="121" spans="1:19" x14ac:dyDescent="0.3">
      <c r="A121" s="1">
        <v>110</v>
      </c>
      <c r="B121" s="1" t="s">
        <v>26</v>
      </c>
      <c r="C121" s="1" t="s">
        <v>17</v>
      </c>
      <c r="D121" s="1" t="s">
        <v>17</v>
      </c>
      <c r="E121" s="1">
        <v>0.5</v>
      </c>
      <c r="F121" s="1" t="s">
        <v>20</v>
      </c>
      <c r="G121" s="1">
        <v>3</v>
      </c>
      <c r="H121" s="1">
        <v>2</v>
      </c>
      <c r="I121" s="1">
        <v>24</v>
      </c>
      <c r="J121" s="1" t="s">
        <v>27</v>
      </c>
      <c r="K121" s="1" t="s">
        <v>8</v>
      </c>
      <c r="L121" s="1">
        <v>75</v>
      </c>
      <c r="M121" s="1">
        <v>20</v>
      </c>
      <c r="N121" s="1">
        <v>1</v>
      </c>
      <c r="O121" s="1">
        <v>0</v>
      </c>
      <c r="P121" s="1">
        <v>0</v>
      </c>
      <c r="Q121">
        <f t="shared" si="9"/>
        <v>96</v>
      </c>
      <c r="R121" s="1">
        <f t="shared" si="10"/>
        <v>25</v>
      </c>
      <c r="S121" s="3">
        <f t="shared" si="11"/>
        <v>95.238095238095227</v>
      </c>
    </row>
    <row r="122" spans="1:19" x14ac:dyDescent="0.3">
      <c r="A122" s="1">
        <v>111</v>
      </c>
      <c r="B122" s="1" t="s">
        <v>16</v>
      </c>
      <c r="C122" s="1" t="s">
        <v>17</v>
      </c>
      <c r="D122" s="1" t="s">
        <v>17</v>
      </c>
      <c r="E122" s="1">
        <v>0.5</v>
      </c>
      <c r="F122" s="1" t="s">
        <v>20</v>
      </c>
      <c r="G122" s="1">
        <v>3</v>
      </c>
      <c r="H122" s="1">
        <v>17</v>
      </c>
      <c r="I122" s="1">
        <v>43</v>
      </c>
      <c r="J122" s="1" t="s">
        <v>21</v>
      </c>
      <c r="K122" s="1" t="s">
        <v>9</v>
      </c>
      <c r="L122" s="1">
        <v>0</v>
      </c>
      <c r="M122" s="1">
        <v>0</v>
      </c>
      <c r="N122" s="1">
        <v>86</v>
      </c>
      <c r="O122" s="1">
        <v>0</v>
      </c>
      <c r="P122" s="1">
        <v>0</v>
      </c>
      <c r="Q122">
        <f t="shared" si="9"/>
        <v>86</v>
      </c>
      <c r="R122" s="1">
        <f t="shared" si="10"/>
        <v>100</v>
      </c>
      <c r="S122" s="3">
        <f t="shared" si="11"/>
        <v>0</v>
      </c>
    </row>
    <row r="123" spans="1:19" x14ac:dyDescent="0.3">
      <c r="A123" s="5">
        <v>112</v>
      </c>
      <c r="B123" s="5" t="s">
        <v>26</v>
      </c>
      <c r="C123" s="1" t="s">
        <v>17</v>
      </c>
      <c r="D123" s="1" t="s">
        <v>17</v>
      </c>
      <c r="E123" s="5">
        <v>0.25</v>
      </c>
      <c r="F123" s="5" t="s">
        <v>20</v>
      </c>
      <c r="G123" s="5">
        <v>3</v>
      </c>
      <c r="H123" s="5">
        <v>10</v>
      </c>
      <c r="I123" s="5">
        <v>24</v>
      </c>
      <c r="J123" s="5" t="s">
        <v>27</v>
      </c>
      <c r="K123" s="5" t="s">
        <v>42</v>
      </c>
      <c r="L123" s="5">
        <v>80</v>
      </c>
      <c r="M123" s="5">
        <v>1</v>
      </c>
      <c r="N123" s="5">
        <v>0</v>
      </c>
      <c r="O123" s="5">
        <v>0</v>
      </c>
      <c r="P123" s="5">
        <v>0</v>
      </c>
      <c r="Q123">
        <f t="shared" si="9"/>
        <v>81</v>
      </c>
      <c r="R123" s="5">
        <f t="shared" si="10"/>
        <v>20</v>
      </c>
      <c r="S123" s="3">
        <f t="shared" si="11"/>
        <v>100</v>
      </c>
    </row>
    <row r="124" spans="1:19" x14ac:dyDescent="0.3">
      <c r="A124" s="5">
        <v>113</v>
      </c>
      <c r="B124" s="5" t="s">
        <v>26</v>
      </c>
      <c r="C124" s="5" t="s">
        <v>17</v>
      </c>
      <c r="D124" s="5" t="s">
        <v>17</v>
      </c>
      <c r="E124" s="5">
        <v>0.25</v>
      </c>
      <c r="F124" s="5" t="s">
        <v>20</v>
      </c>
      <c r="G124" s="5">
        <v>3</v>
      </c>
      <c r="H124" s="5">
        <v>10</v>
      </c>
      <c r="I124" s="5">
        <v>24</v>
      </c>
      <c r="J124" s="5" t="s">
        <v>27</v>
      </c>
      <c r="K124" s="5" t="s">
        <v>43</v>
      </c>
      <c r="L124" s="5">
        <v>0</v>
      </c>
      <c r="M124" s="5">
        <v>91</v>
      </c>
      <c r="N124" s="5">
        <v>5</v>
      </c>
      <c r="O124" s="5">
        <v>0</v>
      </c>
      <c r="P124" s="5">
        <v>0</v>
      </c>
      <c r="Q124">
        <f t="shared" si="9"/>
        <v>96</v>
      </c>
      <c r="R124" s="5">
        <f t="shared" si="10"/>
        <v>100</v>
      </c>
      <c r="S124" s="3">
        <f t="shared" si="11"/>
        <v>94.791666666666657</v>
      </c>
    </row>
    <row r="125" spans="1:19" x14ac:dyDescent="0.3">
      <c r="A125" s="5">
        <v>114</v>
      </c>
      <c r="B125" s="5" t="s">
        <v>26</v>
      </c>
      <c r="C125" s="5" t="s">
        <v>17</v>
      </c>
      <c r="D125" s="5" t="s">
        <v>17</v>
      </c>
      <c r="E125" s="5">
        <v>0.25</v>
      </c>
      <c r="F125" s="5" t="s">
        <v>20</v>
      </c>
      <c r="G125" s="5">
        <v>2</v>
      </c>
      <c r="H125" s="5">
        <v>10</v>
      </c>
      <c r="I125" s="5">
        <v>24</v>
      </c>
      <c r="J125" s="5" t="s">
        <v>27</v>
      </c>
      <c r="K125" s="5" t="s">
        <v>9</v>
      </c>
      <c r="L125" s="5">
        <v>21</v>
      </c>
      <c r="M125" s="5">
        <v>78</v>
      </c>
      <c r="N125" s="5">
        <v>0</v>
      </c>
      <c r="O125" s="5">
        <v>0</v>
      </c>
      <c r="P125" s="5">
        <v>0</v>
      </c>
      <c r="Q125">
        <f t="shared" si="9"/>
        <v>99</v>
      </c>
      <c r="R125" s="5">
        <f t="shared" si="10"/>
        <v>79</v>
      </c>
      <c r="S125" s="3">
        <f t="shared" si="11"/>
        <v>100</v>
      </c>
    </row>
    <row r="126" spans="1:19" x14ac:dyDescent="0.3">
      <c r="A126" s="5">
        <v>115</v>
      </c>
      <c r="B126" s="5" t="s">
        <v>26</v>
      </c>
      <c r="C126" s="5" t="s">
        <v>17</v>
      </c>
      <c r="D126" s="5" t="s">
        <v>17</v>
      </c>
      <c r="E126" s="5">
        <v>0.25</v>
      </c>
      <c r="F126" s="5" t="s">
        <v>20</v>
      </c>
      <c r="G126" s="5">
        <v>1</v>
      </c>
      <c r="H126" s="5">
        <v>10</v>
      </c>
      <c r="I126" s="5">
        <v>24</v>
      </c>
      <c r="J126" s="5" t="s">
        <v>27</v>
      </c>
      <c r="K126" s="5" t="s">
        <v>9</v>
      </c>
      <c r="L126" s="5">
        <v>49</v>
      </c>
      <c r="M126" s="5">
        <v>48</v>
      </c>
      <c r="N126" s="5">
        <v>0</v>
      </c>
      <c r="O126" s="5">
        <v>0</v>
      </c>
      <c r="P126" s="5">
        <v>0</v>
      </c>
      <c r="Q126">
        <f t="shared" si="9"/>
        <v>97</v>
      </c>
      <c r="R126" s="5">
        <f t="shared" si="10"/>
        <v>51</v>
      </c>
      <c r="S126" s="3">
        <f t="shared" si="11"/>
        <v>100</v>
      </c>
    </row>
    <row r="127" spans="1:19" x14ac:dyDescent="0.3">
      <c r="A127" s="5">
        <v>116</v>
      </c>
      <c r="B127" s="5" t="s">
        <v>26</v>
      </c>
      <c r="C127" s="5" t="s">
        <v>17</v>
      </c>
      <c r="D127" s="5" t="s">
        <v>17</v>
      </c>
      <c r="E127" s="5">
        <v>0.25</v>
      </c>
      <c r="F127" s="5" t="s">
        <v>20</v>
      </c>
      <c r="G127" s="5">
        <v>0.5</v>
      </c>
      <c r="H127" s="5">
        <v>10</v>
      </c>
      <c r="I127" s="5">
        <v>24</v>
      </c>
      <c r="J127" s="5" t="s">
        <v>27</v>
      </c>
      <c r="K127" s="5" t="s">
        <v>9</v>
      </c>
      <c r="L127" s="5">
        <v>61</v>
      </c>
      <c r="M127" s="5">
        <v>34</v>
      </c>
      <c r="N127" s="5">
        <v>0</v>
      </c>
      <c r="O127" s="5">
        <v>0</v>
      </c>
      <c r="P127" s="5">
        <v>0</v>
      </c>
      <c r="Q127">
        <f t="shared" si="9"/>
        <v>95</v>
      </c>
      <c r="R127" s="5">
        <f t="shared" si="10"/>
        <v>39</v>
      </c>
      <c r="S127" s="3">
        <f t="shared" si="11"/>
        <v>100</v>
      </c>
    </row>
  </sheetData>
  <autoFilter ref="B11:S11" xr:uid="{9F3711B0-DACF-4C52-8AB9-E03011EBC44B}">
    <sortState xmlns:xlrd2="http://schemas.microsoft.com/office/spreadsheetml/2017/richdata2" ref="B12:S123">
      <sortCondition descending="1" ref="M11"/>
    </sortState>
  </autoFilter>
  <mergeCells count="1">
    <mergeCell ref="C2:J8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utoPict="0" r:id="rId4">
            <anchor moveWithCells="1">
              <from>
                <xdr:col>3</xdr:col>
                <xdr:colOff>466725</xdr:colOff>
                <xdr:row>1</xdr:row>
                <xdr:rowOff>19050</xdr:rowOff>
              </from>
              <to>
                <xdr:col>8</xdr:col>
                <xdr:colOff>390525</xdr:colOff>
                <xdr:row>7</xdr:row>
                <xdr:rowOff>142875</xdr:rowOff>
              </to>
            </anchor>
          </objectPr>
        </oleObject>
      </mc:Choice>
      <mc:Fallback>
        <oleObject progId="ChemDraw.Document.6.0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조준영</dc:creator>
  <cp:lastModifiedBy>조준영</cp:lastModifiedBy>
  <dcterms:created xsi:type="dcterms:W3CDTF">2026-09-07T11:30:47Z</dcterms:created>
  <dcterms:modified xsi:type="dcterms:W3CDTF">2026-09-29T12:52:57Z</dcterms:modified>
</cp:coreProperties>
</file>